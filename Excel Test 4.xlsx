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hidePivotFieldList="1"/>
  <mc:AlternateContent xmlns:mc="http://schemas.openxmlformats.org/markup-compatibility/2006">
    <mc:Choice Requires="x15">
      <x15ac:absPath xmlns:x15ac="http://schemas.microsoft.com/office/spreadsheetml/2010/11/ac" url="https://d.docs.live.net/dbfc225232e13304/Desktop/SLA/Solved Excel Assignment/"/>
    </mc:Choice>
  </mc:AlternateContent>
  <xr:revisionPtr revIDLastSave="3" documentId="11_66AB58D55A94278D2F2F1F5DED019665FE4719BB" xr6:coauthVersionLast="47" xr6:coauthVersionMax="47" xr10:uidLastSave="{F096D8B3-ACD8-4570-9012-BF462CD25006}"/>
  <bookViews>
    <workbookView xWindow="-108" yWindow="-108" windowWidth="23256" windowHeight="12456" xr2:uid="{00000000-000D-0000-FFFF-FFFF00000000}"/>
  </bookViews>
  <sheets>
    <sheet name="1" sheetId="2" r:id="rId1"/>
    <sheet name="2" sheetId="1" r:id="rId2"/>
    <sheet name="3" sheetId="3" r:id="rId3"/>
    <sheet name="4" sheetId="4" r:id="rId4"/>
    <sheet name="5" sheetId="5" r:id="rId5"/>
    <sheet name="6" sheetId="6" r:id="rId6"/>
    <sheet name="7" sheetId="7" r:id="rId7"/>
    <sheet name="8" sheetId="8" r:id="rId8"/>
    <sheet name="9" sheetId="9" r:id="rId9"/>
    <sheet name="10" sheetId="11" r:id="rId10"/>
    <sheet name="11" sheetId="10" r:id="rId11"/>
    <sheet name="VBA1" sheetId="12" r:id="rId12"/>
    <sheet name="VBA2" sheetId="13" r:id="rId13"/>
  </sheets>
  <definedNames>
    <definedName name="_xlnm._FilterDatabase" localSheetId="4" hidden="1">'5'!$A$6:$A$40</definedName>
    <definedName name="_xlnm._FilterDatabase" localSheetId="6" hidden="1">'7'!$A$8:$E$32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7" l="1"/>
  <c r="J11" i="7"/>
  <c r="J9" i="7"/>
  <c r="K8" i="6"/>
  <c r="K9" i="6"/>
  <c r="K10" i="6"/>
  <c r="K11" i="6"/>
  <c r="K12" i="6"/>
  <c r="K13" i="6"/>
  <c r="K14" i="6"/>
  <c r="K7" i="6"/>
  <c r="I8" i="6"/>
  <c r="L8" i="6" s="1"/>
  <c r="I9" i="6"/>
  <c r="L9" i="6" s="1"/>
  <c r="I10" i="6"/>
  <c r="L10" i="6" s="1"/>
  <c r="I11" i="6"/>
  <c r="L11" i="6" s="1"/>
  <c r="I12" i="6"/>
  <c r="L12" i="6" s="1"/>
  <c r="I13" i="6"/>
  <c r="L13" i="6" s="1"/>
  <c r="I14" i="6"/>
  <c r="L14" i="6" s="1"/>
  <c r="I7" i="6"/>
  <c r="L7" i="6" s="1"/>
  <c r="I4" i="5"/>
  <c r="J4" i="5"/>
  <c r="H4" i="5"/>
  <c r="G4" i="5"/>
  <c r="L4" i="5" s="1"/>
  <c r="J11" i="4"/>
  <c r="I10" i="4"/>
  <c r="J10" i="4" s="1"/>
  <c r="I11" i="4"/>
  <c r="I12" i="4"/>
  <c r="J12" i="4" s="1"/>
  <c r="I13" i="4"/>
  <c r="J13" i="4" s="1"/>
  <c r="I9" i="4"/>
  <c r="J9" i="4" s="1"/>
  <c r="J25" i="3"/>
  <c r="I24" i="3"/>
  <c r="E25" i="3"/>
  <c r="H25" i="3" s="1"/>
  <c r="F25" i="3"/>
  <c r="I25" i="3" s="1"/>
  <c r="G25" i="3"/>
  <c r="F24" i="3"/>
  <c r="G24" i="3"/>
  <c r="J24" i="3" s="1"/>
  <c r="E24" i="3"/>
  <c r="H24" i="3" s="1"/>
  <c r="D25" i="3"/>
  <c r="D24" i="3"/>
  <c r="J7" i="6" l="1"/>
  <c r="J11" i="6"/>
  <c r="J14" i="6"/>
  <c r="J10" i="6"/>
  <c r="K4" i="5"/>
  <c r="J13" i="6"/>
  <c r="J9" i="6"/>
  <c r="J12" i="6"/>
  <c r="J8" i="6"/>
  <c r="G11" i="10"/>
  <c r="G10" i="10"/>
  <c r="G9" i="10"/>
  <c r="G8" i="10"/>
  <c r="G7" i="10"/>
  <c r="A10" i="7" l="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E17" i="1"/>
  <c r="E16" i="1"/>
  <c r="E15" i="1"/>
  <c r="E14" i="1"/>
  <c r="E13" i="1"/>
  <c r="E12" i="1"/>
  <c r="E11" i="1"/>
  <c r="E10" i="1"/>
  <c r="E9" i="1"/>
  <c r="E8" i="1"/>
  <c r="E7" i="1"/>
  <c r="C7" i="1"/>
  <c r="C8" i="1" s="1"/>
  <c r="C9" i="1" s="1"/>
  <c r="C10" i="1" s="1"/>
  <c r="C11" i="1" s="1"/>
  <c r="C12" i="1" s="1"/>
  <c r="C13" i="1" s="1"/>
  <c r="C14" i="1" s="1"/>
  <c r="C15" i="1" s="1"/>
  <c r="C16" i="1" s="1"/>
  <c r="C17" i="1" s="1"/>
</calcChain>
</file>

<file path=xl/sharedStrings.xml><?xml version="1.0" encoding="utf-8"?>
<sst xmlns="http://schemas.openxmlformats.org/spreadsheetml/2006/main" count="552" uniqueCount="355">
  <si>
    <t>Cheyenne</t>
  </si>
  <si>
    <t>WY</t>
  </si>
  <si>
    <t>Wyoming</t>
  </si>
  <si>
    <t>Madison</t>
  </si>
  <si>
    <t>WI</t>
  </si>
  <si>
    <t>Wisconsin</t>
  </si>
  <si>
    <t>Charleston</t>
  </si>
  <si>
    <t>WV</t>
  </si>
  <si>
    <t>West Virginia</t>
  </si>
  <si>
    <t>Olympia</t>
  </si>
  <si>
    <t>WA</t>
  </si>
  <si>
    <t>Washington</t>
  </si>
  <si>
    <t>Richmond</t>
  </si>
  <si>
    <t>VA</t>
  </si>
  <si>
    <t>Virginia</t>
  </si>
  <si>
    <t>Montpelier</t>
  </si>
  <si>
    <t>VT</t>
  </si>
  <si>
    <t>Vermont</t>
  </si>
  <si>
    <t>Salt Lake City</t>
  </si>
  <si>
    <t>UT</t>
  </si>
  <si>
    <t>Utah</t>
  </si>
  <si>
    <t>Austin</t>
  </si>
  <si>
    <t>TX</t>
  </si>
  <si>
    <t>Texas</t>
  </si>
  <si>
    <t>Nashville</t>
  </si>
  <si>
    <t>TN</t>
  </si>
  <si>
    <t>Tennessee</t>
  </si>
  <si>
    <t>Pierre</t>
  </si>
  <si>
    <t>SD</t>
  </si>
  <si>
    <t>South Dakota</t>
  </si>
  <si>
    <t>Columbia</t>
  </si>
  <si>
    <t>SC</t>
  </si>
  <si>
    <t>South Carolina</t>
  </si>
  <si>
    <t>Providence</t>
  </si>
  <si>
    <t>RI</t>
  </si>
  <si>
    <t>Rhode Island</t>
  </si>
  <si>
    <t>Harrisburg</t>
  </si>
  <si>
    <t>PA</t>
  </si>
  <si>
    <t>Pennsylvania</t>
  </si>
  <si>
    <t>Salem</t>
  </si>
  <si>
    <t>OR</t>
  </si>
  <si>
    <t>Oregon</t>
  </si>
  <si>
    <t>Oklahoma City</t>
  </si>
  <si>
    <t>OK</t>
  </si>
  <si>
    <t>Oklahoma</t>
  </si>
  <si>
    <t>Columbus</t>
  </si>
  <si>
    <t>OH</t>
  </si>
  <si>
    <t>Ohio</t>
  </si>
  <si>
    <t>Bismarck</t>
  </si>
  <si>
    <t>ND</t>
  </si>
  <si>
    <t>North Dakota</t>
  </si>
  <si>
    <t>Raleigh</t>
  </si>
  <si>
    <t>NC</t>
  </si>
  <si>
    <t>North Carolina</t>
  </si>
  <si>
    <t>Albany</t>
  </si>
  <si>
    <t>NY</t>
  </si>
  <si>
    <t>New York</t>
  </si>
  <si>
    <t>Santa Fe</t>
  </si>
  <si>
    <t>NM</t>
  </si>
  <si>
    <t>New Mexico</t>
  </si>
  <si>
    <t>Trenton</t>
  </si>
  <si>
    <t>NJ</t>
  </si>
  <si>
    <t>New Jersey</t>
  </si>
  <si>
    <t>Concord</t>
  </si>
  <si>
    <t>NH</t>
  </si>
  <si>
    <t>New Hampshire</t>
  </si>
  <si>
    <t>Carson City</t>
  </si>
  <si>
    <t>NV</t>
  </si>
  <si>
    <t>Nevada</t>
  </si>
  <si>
    <t>Lincoln</t>
  </si>
  <si>
    <t>NE</t>
  </si>
  <si>
    <t>Nebraska</t>
  </si>
  <si>
    <t>Helena</t>
  </si>
  <si>
    <t>MT</t>
  </si>
  <si>
    <t>Montana</t>
  </si>
  <si>
    <t>Jefferson City</t>
  </si>
  <si>
    <t>MO</t>
  </si>
  <si>
    <t>Missouri</t>
  </si>
  <si>
    <t>Jackson</t>
  </si>
  <si>
    <t>MS</t>
  </si>
  <si>
    <t>Mississippi</t>
  </si>
  <si>
    <t>St. Paul</t>
  </si>
  <si>
    <t>MN</t>
  </si>
  <si>
    <t>Minnesota</t>
  </si>
  <si>
    <t>Lansing</t>
  </si>
  <si>
    <t>MI</t>
  </si>
  <si>
    <t>Michigan</t>
  </si>
  <si>
    <t>Boston</t>
  </si>
  <si>
    <t>MA</t>
  </si>
  <si>
    <t>Massachusetts</t>
  </si>
  <si>
    <t>Annapolis</t>
  </si>
  <si>
    <t>MD</t>
  </si>
  <si>
    <t>Maryland</t>
  </si>
  <si>
    <t>Augusta</t>
  </si>
  <si>
    <t>ME</t>
  </si>
  <si>
    <t>Maine</t>
  </si>
  <si>
    <t>Baton Rouge</t>
  </si>
  <si>
    <t>LA</t>
  </si>
  <si>
    <t>Louisiana</t>
  </si>
  <si>
    <t>Frankfort</t>
  </si>
  <si>
    <t>KY</t>
  </si>
  <si>
    <t>Kentucky</t>
  </si>
  <si>
    <t>Topeka</t>
  </si>
  <si>
    <t>KS</t>
  </si>
  <si>
    <t>Kansas</t>
  </si>
  <si>
    <t>Des Moines</t>
  </si>
  <si>
    <t>IA</t>
  </si>
  <si>
    <t>Iowa</t>
  </si>
  <si>
    <t>Indianapolis</t>
  </si>
  <si>
    <t>IN</t>
  </si>
  <si>
    <t>Indiana</t>
  </si>
  <si>
    <t>Springfield</t>
  </si>
  <si>
    <t>IL</t>
  </si>
  <si>
    <t>Illinois</t>
  </si>
  <si>
    <t>Boise City</t>
  </si>
  <si>
    <t>ID</t>
  </si>
  <si>
    <t>Idaho</t>
  </si>
  <si>
    <t>Honolulu</t>
  </si>
  <si>
    <t>HI</t>
  </si>
  <si>
    <t>Hawaii</t>
  </si>
  <si>
    <t>Atlanta</t>
  </si>
  <si>
    <t>GA</t>
  </si>
  <si>
    <t>Georgia</t>
  </si>
  <si>
    <t>Tallahassee</t>
  </si>
  <si>
    <t>FL</t>
  </si>
  <si>
    <t>Florida</t>
  </si>
  <si>
    <t>DC</t>
  </si>
  <si>
    <t>District of Columbia</t>
  </si>
  <si>
    <t>Dover</t>
  </si>
  <si>
    <t>DE</t>
  </si>
  <si>
    <t>Delaware</t>
  </si>
  <si>
    <t>State</t>
  </si>
  <si>
    <t>Capital</t>
  </si>
  <si>
    <t>Hartford</t>
  </si>
  <si>
    <t>CT</t>
  </si>
  <si>
    <t>Connecticut</t>
  </si>
  <si>
    <t>Denver</t>
  </si>
  <si>
    <t>CO</t>
  </si>
  <si>
    <t>Colorado</t>
  </si>
  <si>
    <t>Sacramento</t>
  </si>
  <si>
    <t>CA</t>
  </si>
  <si>
    <t>California</t>
  </si>
  <si>
    <t>Little Rock</t>
  </si>
  <si>
    <t>AR</t>
  </si>
  <si>
    <t>Arkansas</t>
  </si>
  <si>
    <t>Phoenix</t>
  </si>
  <si>
    <t>AZ</t>
  </si>
  <si>
    <t>Arizona</t>
  </si>
  <si>
    <t>Juneau</t>
  </si>
  <si>
    <t>AK</t>
  </si>
  <si>
    <t>Alaska</t>
  </si>
  <si>
    <t>Montgomery</t>
  </si>
  <si>
    <t>AL</t>
  </si>
  <si>
    <t>Alabama</t>
  </si>
  <si>
    <t>Population</t>
  </si>
  <si>
    <t>USA</t>
  </si>
  <si>
    <t>Area</t>
  </si>
  <si>
    <t>Abbr.</t>
  </si>
  <si>
    <t>Name</t>
  </si>
  <si>
    <t>Workers</t>
  </si>
  <si>
    <t>Output</t>
  </si>
  <si>
    <t>Marginal Output</t>
  </si>
  <si>
    <t>NA</t>
  </si>
  <si>
    <t>If I have 4 workers, what is my output?</t>
  </si>
  <si>
    <t>What is my marginal output?</t>
  </si>
  <si>
    <t>What is this factory's maximum output? (Hint: use the MAX formula)</t>
  </si>
  <si>
    <t>At that level of output, what is the marginal output?</t>
  </si>
  <si>
    <t>Price Table</t>
  </si>
  <si>
    <t>Item</t>
  </si>
  <si>
    <t>Price</t>
  </si>
  <si>
    <t>Pencil</t>
  </si>
  <si>
    <t>Box</t>
  </si>
  <si>
    <t>Pen</t>
  </si>
  <si>
    <t>Notebook</t>
  </si>
  <si>
    <t>Projected Quantities Sold</t>
  </si>
  <si>
    <t>Year</t>
  </si>
  <si>
    <t>Pencils vs Pens</t>
  </si>
  <si>
    <t>Quantities</t>
  </si>
  <si>
    <t>Revenue</t>
  </si>
  <si>
    <t>Type</t>
  </si>
  <si>
    <t>2015 Tax Brackets</t>
  </si>
  <si>
    <t>Lower End</t>
  </si>
  <si>
    <t>Upper End</t>
  </si>
  <si>
    <t>Tax Rate</t>
  </si>
  <si>
    <t>Taxable Income</t>
  </si>
  <si>
    <t>Marginal Tax Rate</t>
  </si>
  <si>
    <t>Total Tax Liability</t>
  </si>
  <si>
    <t>Bob</t>
  </si>
  <si>
    <t>John</t>
  </si>
  <si>
    <t>Sally</t>
  </si>
  <si>
    <t>Michael</t>
  </si>
  <si>
    <t>Carlos</t>
  </si>
  <si>
    <t># Responses</t>
  </si>
  <si>
    <t>Pepperoni</t>
  </si>
  <si>
    <t>Sausage</t>
  </si>
  <si>
    <t>Mushrooms</t>
  </si>
  <si>
    <t>Other</t>
  </si>
  <si>
    <t>Not Pepperoni</t>
  </si>
  <si>
    <t>What is your favorite pizza topping?</t>
  </si>
  <si>
    <t>Anchovies</t>
  </si>
  <si>
    <t>Bellpeppers</t>
  </si>
  <si>
    <t>Count</t>
  </si>
  <si>
    <t>Sector</t>
  </si>
  <si>
    <t>Value as of 12/1</t>
  </si>
  <si>
    <t>% Allocation on 12/1</t>
  </si>
  <si>
    <t>Count of Companies</t>
  </si>
  <si>
    <t>Average Value in Each Company</t>
  </si>
  <si>
    <t>Tech</t>
  </si>
  <si>
    <t>Retail</t>
  </si>
  <si>
    <t>Oil</t>
  </si>
  <si>
    <t>Ticker</t>
  </si>
  <si>
    <t># Shares</t>
  </si>
  <si>
    <t>Price on 1/1</t>
  </si>
  <si>
    <t>Price on 6/1</t>
  </si>
  <si>
    <t>Price on 12/1</t>
  </si>
  <si>
    <t>Financial</t>
  </si>
  <si>
    <t>A1</t>
  </si>
  <si>
    <t>Consumer Products</t>
  </si>
  <si>
    <t>A2</t>
  </si>
  <si>
    <t>Utilities</t>
  </si>
  <si>
    <t>A3</t>
  </si>
  <si>
    <t>Healthcare</t>
  </si>
  <si>
    <t>A4</t>
  </si>
  <si>
    <t>Energy</t>
  </si>
  <si>
    <t>A5</t>
  </si>
  <si>
    <t>A6</t>
  </si>
  <si>
    <t>A7</t>
  </si>
  <si>
    <t>A8</t>
  </si>
  <si>
    <t>A9</t>
  </si>
  <si>
    <t>A10</t>
  </si>
  <si>
    <t>A11</t>
  </si>
  <si>
    <t>A12</t>
  </si>
  <si>
    <t>A13</t>
  </si>
  <si>
    <t>A14</t>
  </si>
  <si>
    <t>A15</t>
  </si>
  <si>
    <t>A16</t>
  </si>
  <si>
    <t>A17</t>
  </si>
  <si>
    <t>A18</t>
  </si>
  <si>
    <t>A19</t>
  </si>
  <si>
    <t>A20</t>
  </si>
  <si>
    <t>A21</t>
  </si>
  <si>
    <t>A22</t>
  </si>
  <si>
    <t>A23</t>
  </si>
  <si>
    <t>Widgets in Inventory</t>
  </si>
  <si>
    <t>ID #</t>
  </si>
  <si>
    <t>Shape</t>
  </si>
  <si>
    <t>Material</t>
  </si>
  <si>
    <t>Size</t>
  </si>
  <si>
    <t>How many widgets are round and made out of steel?</t>
  </si>
  <si>
    <t>Round</t>
  </si>
  <si>
    <t>Steel</t>
  </si>
  <si>
    <t>Small</t>
  </si>
  <si>
    <t>Large</t>
  </si>
  <si>
    <t>How many widgets are square, made out of plastic, and small?</t>
  </si>
  <si>
    <t>Plastic</t>
  </si>
  <si>
    <t>What is the sum of the value of the widgets that are large and made of steel?</t>
  </si>
  <si>
    <t>What is the sum of the value of the widgets that are diamond shaped, made of steel, and not small?</t>
  </si>
  <si>
    <t>Medium</t>
  </si>
  <si>
    <t>Square</t>
  </si>
  <si>
    <t>What is the average price of steel widgets?</t>
  </si>
  <si>
    <t>Total Value</t>
  </si>
  <si>
    <t>Average Price</t>
  </si>
  <si>
    <t>Diamond</t>
  </si>
  <si>
    <t>Wood</t>
  </si>
  <si>
    <t>Granite</t>
  </si>
  <si>
    <t>Product ID</t>
  </si>
  <si>
    <t>Description</t>
  </si>
  <si>
    <t>Region</t>
  </si>
  <si>
    <t>Quantity</t>
  </si>
  <si>
    <t>NW</t>
  </si>
  <si>
    <t>14122</t>
  </si>
  <si>
    <t>Eco Widget</t>
  </si>
  <si>
    <t>14123</t>
  </si>
  <si>
    <t>Con Widget</t>
  </si>
  <si>
    <t>14124</t>
  </si>
  <si>
    <t>Pra Widget</t>
  </si>
  <si>
    <t>14125</t>
  </si>
  <si>
    <t>Pre Widget</t>
  </si>
  <si>
    <t>SE</t>
  </si>
  <si>
    <t>Code</t>
  </si>
  <si>
    <t>Eco</t>
  </si>
  <si>
    <t>Economical</t>
  </si>
  <si>
    <t>Con</t>
  </si>
  <si>
    <t>Convenient</t>
  </si>
  <si>
    <t>Pra</t>
  </si>
  <si>
    <t>Practical</t>
  </si>
  <si>
    <t>S</t>
  </si>
  <si>
    <t>Pre</t>
  </si>
  <si>
    <t>Premium</t>
  </si>
  <si>
    <t>W</t>
  </si>
  <si>
    <t>SW</t>
  </si>
  <si>
    <t>MW</t>
  </si>
  <si>
    <t>N</t>
  </si>
  <si>
    <t>Price per Gallon</t>
  </si>
  <si>
    <t>Location ID</t>
  </si>
  <si>
    <t># Attendants</t>
  </si>
  <si>
    <t>Regular</t>
  </si>
  <si>
    <t>Avg Daily Gallons Sold</t>
  </si>
  <si>
    <t>0016001</t>
  </si>
  <si>
    <t>0016002</t>
  </si>
  <si>
    <t>0016003</t>
  </si>
  <si>
    <t>0016004</t>
  </si>
  <si>
    <t>0016005</t>
  </si>
  <si>
    <t>0016006</t>
  </si>
  <si>
    <t>0016007</t>
  </si>
  <si>
    <t>0016008</t>
  </si>
  <si>
    <t>0016009</t>
  </si>
  <si>
    <t>0016010</t>
  </si>
  <si>
    <t>0016011</t>
  </si>
  <si>
    <t>0016012</t>
  </si>
  <si>
    <t>0016013</t>
  </si>
  <si>
    <t>0016014</t>
  </si>
  <si>
    <t>0016015</t>
  </si>
  <si>
    <t>0016016</t>
  </si>
  <si>
    <t>0016017</t>
  </si>
  <si>
    <t>0016018</t>
  </si>
  <si>
    <t>0016019</t>
  </si>
  <si>
    <t>0016020</t>
  </si>
  <si>
    <t>0016021</t>
  </si>
  <si>
    <t>0016022</t>
  </si>
  <si>
    <t>0016023</t>
  </si>
  <si>
    <t>0016024</t>
  </si>
  <si>
    <t>0016025</t>
  </si>
  <si>
    <t>0016026</t>
  </si>
  <si>
    <t>Spend</t>
  </si>
  <si>
    <t>A10000</t>
  </si>
  <si>
    <t>Red Box</t>
  </si>
  <si>
    <t>A10001</t>
  </si>
  <si>
    <t>Green Box</t>
  </si>
  <si>
    <t>A10002</t>
  </si>
  <si>
    <t>Red Metal Box</t>
  </si>
  <si>
    <t>A10003</t>
  </si>
  <si>
    <t>Green Metal Box</t>
  </si>
  <si>
    <t>A10004</t>
  </si>
  <si>
    <t>Gold Box</t>
  </si>
  <si>
    <t>Week</t>
  </si>
  <si>
    <t>Total # Tested</t>
  </si>
  <si>
    <t>% Positive</t>
  </si>
  <si>
    <t>Email</t>
  </si>
  <si>
    <t>ABC@gmail.com</t>
  </si>
  <si>
    <t>ABCD@gmail.com</t>
  </si>
  <si>
    <t>Domain</t>
  </si>
  <si>
    <t>Ram@yahoo.com</t>
  </si>
  <si>
    <t>Arjun@AOL.com</t>
  </si>
  <si>
    <t>Separate Domain from Email name using VBA For Ex: gmail from ABC@gmail</t>
  </si>
  <si>
    <t>Number</t>
  </si>
  <si>
    <t>Rank</t>
  </si>
  <si>
    <t>If Rank is odd then add 5 and print in Number column, if even than add 10</t>
  </si>
  <si>
    <t>use index match</t>
  </si>
  <si>
    <t>sumif</t>
  </si>
  <si>
    <t>vlook up</t>
  </si>
  <si>
    <t>countifs</t>
  </si>
  <si>
    <t>sumifs</t>
  </si>
  <si>
    <t>averageifs</t>
  </si>
  <si>
    <t>make it text then apply vlook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</si>
</sst>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3" formatCode="_(* #,##0.00_);_(* \(#,##0.00\);_(* &quot;-&quot;??_);_(@_)"/>
    <numFmt numFmtId="164" formatCode="_(* #,##0_);_(* \(#,##0\);_(* &quot;-&quot;??_);_(@_)"/>
    <numFmt numFmtId="165"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4">
    <border>
      <left/>
      <right/>
      <top/>
      <bottom/>
      <diagonal/>
    </border>
    <border>
      <left/>
      <right/>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3" fontId="0" fillId="0" borderId="0" xfId="0" applyNumberFormat="1"/>
    <xf numFmtId="0" fontId="0" fillId="2" borderId="0" xfId="0" applyFill="1"/>
    <xf numFmtId="0" fontId="2" fillId="0" borderId="0" xfId="0" applyFont="1"/>
    <xf numFmtId="0" fontId="2" fillId="0" borderId="0" xfId="0" applyFont="1" applyAlignment="1">
      <alignment horizontal="right"/>
    </xf>
    <xf numFmtId="0" fontId="2" fillId="0" borderId="0" xfId="0" applyFont="1" applyAlignment="1">
      <alignment horizontal="center"/>
    </xf>
    <xf numFmtId="0" fontId="0" fillId="0" borderId="0" xfId="0" applyAlignment="1">
      <alignment horizontal="center"/>
    </xf>
    <xf numFmtId="0" fontId="2" fillId="0" borderId="1" xfId="0" applyFont="1" applyBorder="1" applyAlignment="1">
      <alignment horizontal="centerContinuous"/>
    </xf>
    <xf numFmtId="0" fontId="0" fillId="0" borderId="1" xfId="0" applyBorder="1" applyAlignment="1">
      <alignment horizontal="centerContinuous"/>
    </xf>
    <xf numFmtId="0" fontId="2" fillId="0" borderId="1" xfId="0" applyFont="1" applyBorder="1"/>
    <xf numFmtId="0" fontId="2" fillId="0" borderId="1" xfId="0" applyFont="1" applyBorder="1" applyAlignment="1">
      <alignment horizontal="right"/>
    </xf>
    <xf numFmtId="8" fontId="0" fillId="0" borderId="0" xfId="0" applyNumberFormat="1"/>
    <xf numFmtId="0" fontId="0" fillId="0" borderId="1" xfId="0" applyBorder="1"/>
    <xf numFmtId="8" fontId="0" fillId="0" borderId="1" xfId="0" applyNumberFormat="1" applyBorder="1"/>
    <xf numFmtId="0" fontId="2" fillId="0" borderId="2" xfId="0" applyFont="1" applyBorder="1" applyAlignment="1">
      <alignment horizontal="right"/>
    </xf>
    <xf numFmtId="164" fontId="0" fillId="0" borderId="0" xfId="1" applyNumberFormat="1" applyFont="1"/>
    <xf numFmtId="164" fontId="0" fillId="0" borderId="1" xfId="1" applyNumberFormat="1" applyFont="1" applyBorder="1"/>
    <xf numFmtId="0" fontId="0" fillId="0" borderId="2" xfId="0" applyBorder="1"/>
    <xf numFmtId="0" fontId="2" fillId="0" borderId="2" xfId="0" applyFont="1" applyBorder="1" applyAlignment="1">
      <alignment horizontal="centerContinuous"/>
    </xf>
    <xf numFmtId="0" fontId="0" fillId="0" borderId="2" xfId="0" applyBorder="1" applyAlignment="1">
      <alignment horizontal="centerContinuous"/>
    </xf>
    <xf numFmtId="0" fontId="2" fillId="0" borderId="2" xfId="0" applyFont="1" applyBorder="1"/>
    <xf numFmtId="0" fontId="2" fillId="0" borderId="0" xfId="0" applyFont="1" applyAlignment="1">
      <alignment horizontal="centerContinuous"/>
    </xf>
    <xf numFmtId="0" fontId="0" fillId="0" borderId="0" xfId="0" applyAlignment="1">
      <alignment horizontal="centerContinuous"/>
    </xf>
    <xf numFmtId="0" fontId="2" fillId="0" borderId="0" xfId="0" applyFont="1" applyAlignment="1">
      <alignment horizontal="left"/>
    </xf>
    <xf numFmtId="6" fontId="0" fillId="0" borderId="0" xfId="0" applyNumberFormat="1"/>
    <xf numFmtId="165" fontId="0" fillId="0" borderId="0" xfId="0" applyNumberFormat="1"/>
    <xf numFmtId="0" fontId="3" fillId="0" borderId="0" xfId="0" applyFont="1"/>
    <xf numFmtId="0" fontId="2" fillId="0" borderId="1" xfId="0" applyFont="1" applyBorder="1" applyAlignment="1">
      <alignment wrapText="1"/>
    </xf>
    <xf numFmtId="0" fontId="2" fillId="0" borderId="1" xfId="0" applyFont="1" applyBorder="1" applyAlignment="1">
      <alignment horizontal="right" wrapText="1" indent="1"/>
    </xf>
    <xf numFmtId="0" fontId="0" fillId="0" borderId="0" xfId="0" applyAlignment="1">
      <alignment horizontal="left"/>
    </xf>
    <xf numFmtId="0" fontId="0" fillId="2" borderId="0" xfId="0" applyFill="1" applyAlignment="1">
      <alignment horizontal="right"/>
    </xf>
    <xf numFmtId="0" fontId="0" fillId="0" borderId="0" xfId="0" applyAlignment="1">
      <alignment horizontal="right"/>
    </xf>
    <xf numFmtId="49" fontId="2" fillId="0" borderId="0" xfId="0" applyNumberFormat="1" applyFont="1"/>
    <xf numFmtId="49" fontId="0" fillId="0" borderId="0" xfId="0" applyNumberFormat="1"/>
    <xf numFmtId="0" fontId="0" fillId="0" borderId="0" xfId="0" quotePrefix="1"/>
    <xf numFmtId="164" fontId="0" fillId="2" borderId="0" xfId="0" applyNumberFormat="1" applyFill="1"/>
    <xf numFmtId="8" fontId="0" fillId="2" borderId="0" xfId="0" applyNumberFormat="1" applyFill="1"/>
    <xf numFmtId="9" fontId="0" fillId="2" borderId="0" xfId="2" applyFont="1" applyFill="1"/>
    <xf numFmtId="6" fontId="0" fillId="2" borderId="0" xfId="0" applyNumberFormat="1" applyFill="1"/>
    <xf numFmtId="0" fontId="2" fillId="0" borderId="3" xfId="0" applyFont="1" applyBorder="1" applyAlignment="1">
      <alignment horizontal="left"/>
    </xf>
    <xf numFmtId="0" fontId="0" fillId="2" borderId="3" xfId="0" applyFill="1" applyBorder="1" applyAlignment="1">
      <alignment horizontal="left"/>
    </xf>
    <xf numFmtId="1" fontId="0" fillId="2" borderId="0" xfId="0" applyNumberFormat="1" applyFill="1" applyAlignment="1">
      <alignment horizontal="right" indent="1"/>
    </xf>
    <xf numFmtId="2" fontId="0" fillId="2" borderId="0" xfId="0" applyNumberFormat="1" applyFill="1"/>
    <xf numFmtId="9" fontId="0" fillId="2" borderId="0" xfId="0" applyNumberFormat="1" applyFill="1" applyAlignment="1">
      <alignment horizontal="right" indent="1"/>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FBAB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104775</xdr:colOff>
      <xdr:row>1</xdr:row>
      <xdr:rowOff>9525</xdr:rowOff>
    </xdr:from>
    <xdr:to>
      <xdr:col>8</xdr:col>
      <xdr:colOff>209550</xdr:colOff>
      <xdr:row>4</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95325" y="200025"/>
          <a:ext cx="4238625"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Fill out the green cells in the tables to the right of the data by using VLOOKUPs.  Use absolute references to minimize</a:t>
          </a:r>
          <a:r>
            <a:rPr lang="en-US" sz="1100" baseline="0"/>
            <a:t> the number of formulas that you need to write.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219075</xdr:colOff>
      <xdr:row>1</xdr:row>
      <xdr:rowOff>85725</xdr:rowOff>
    </xdr:from>
    <xdr:ext cx="4442370"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305425" y="276225"/>
          <a:ext cx="4442370" cy="264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100"/>
            <a:t>Answer the questions below using </a:t>
          </a:r>
          <a:r>
            <a:rPr lang="en-US" sz="1100" baseline="0"/>
            <a:t> formulas to determine your responses.</a:t>
          </a:r>
          <a:endParaRPr lang="en-US" sz="1100"/>
        </a:p>
      </xdr:txBody>
    </xdr:sp>
    <xdr:clientData/>
  </xdr:oneCellAnchor>
  <xdr:oneCellAnchor>
    <xdr:from>
      <xdr:col>0</xdr:col>
      <xdr:colOff>238125</xdr:colOff>
      <xdr:row>1</xdr:row>
      <xdr:rowOff>85725</xdr:rowOff>
    </xdr:from>
    <xdr:ext cx="4441793" cy="436786"/>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38125" y="276225"/>
          <a:ext cx="4441793" cy="436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100"/>
            <a:t>The table below shows the output and marginal output of a</a:t>
          </a:r>
          <a:r>
            <a:rPr lang="en-US" sz="1100" baseline="0"/>
            <a:t> factory, which</a:t>
          </a:r>
        </a:p>
        <a:p>
          <a:r>
            <a:rPr lang="en-US" sz="1100" baseline="0"/>
            <a:t>is driven by the number of workers.</a:t>
          </a:r>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104775</xdr:rowOff>
    </xdr:from>
    <xdr:ext cx="7907614" cy="609013"/>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181100" y="104775"/>
          <a:ext cx="7907614" cy="60901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100">
              <a:solidFill>
                <a:schemeClr val="dk1"/>
              </a:solidFill>
              <a:effectLst/>
              <a:latin typeface="+mn-lt"/>
              <a:ea typeface="+mn-ea"/>
              <a:cs typeface="+mn-cs"/>
            </a:rPr>
            <a:t>I</a:t>
          </a:r>
          <a:r>
            <a:rPr lang="en-US" sz="1100" baseline="0">
              <a:solidFill>
                <a:schemeClr val="dk1"/>
              </a:solidFill>
              <a:effectLst/>
              <a:latin typeface="+mn-lt"/>
              <a:ea typeface="+mn-ea"/>
              <a:cs typeface="+mn-cs"/>
            </a:rPr>
            <a:t> have provided prices for a few items along with quantities sold by year in two separate tables below.  Use these tables to fill</a:t>
          </a:r>
          <a:endParaRPr lang="en-US">
            <a:effectLst/>
          </a:endParaRPr>
        </a:p>
        <a:p>
          <a:r>
            <a:rPr lang="en-US" sz="1100" baseline="0">
              <a:solidFill>
                <a:schemeClr val="dk1"/>
              </a:solidFill>
              <a:effectLst/>
              <a:latin typeface="+mn-lt"/>
              <a:ea typeface="+mn-ea"/>
              <a:cs typeface="+mn-cs"/>
            </a:rPr>
            <a:t>in the green cells in the Pencils vs Pens exhibit.  Use lookup formulas.  Try to use absolute references so you can avoid writing too many</a:t>
          </a:r>
          <a:endParaRPr lang="en-US">
            <a:effectLst/>
          </a:endParaRPr>
        </a:p>
        <a:p>
          <a:r>
            <a:rPr lang="en-US" sz="1100" baseline="0">
              <a:solidFill>
                <a:schemeClr val="dk1"/>
              </a:solidFill>
              <a:effectLst/>
              <a:latin typeface="+mn-lt"/>
              <a:ea typeface="+mn-ea"/>
              <a:cs typeface="+mn-cs"/>
            </a:rPr>
            <a:t>lookups and formulas.</a:t>
          </a:r>
          <a:endParaRPr lang="en-US">
            <a:effectLst/>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247650</xdr:colOff>
      <xdr:row>1</xdr:row>
      <xdr:rowOff>171450</xdr:rowOff>
    </xdr:from>
    <xdr:ext cx="10784234" cy="609013"/>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838200" y="361950"/>
          <a:ext cx="10784234" cy="609013"/>
        </a:xfrm>
        <a:prstGeom prst="rect">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100"/>
            <a:t>The 2015 tax brackets</a:t>
          </a:r>
          <a:r>
            <a:rPr lang="en-US" sz="1100" baseline="0"/>
            <a:t> are displayed in the table below.  Use a lookup to find a) each person's marginal tax rate and b) each person's total tax liability.</a:t>
          </a:r>
        </a:p>
        <a:p>
          <a:r>
            <a:rPr lang="en-US" sz="1100" baseline="0"/>
            <a:t>The total tax liability is determined by applying the appropriate tax rate to the corresponding portion of the person's taxable income based on the 2015 Tax Brackets table and aggregating</a:t>
          </a:r>
        </a:p>
        <a:p>
          <a:r>
            <a:rPr lang="en-US" sz="1100" baseline="0"/>
            <a:t>the taxes calculated on each portion of income.</a:t>
          </a:r>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190499</xdr:colOff>
      <xdr:row>1</xdr:row>
      <xdr:rowOff>38100</xdr:rowOff>
    </xdr:from>
    <xdr:to>
      <xdr:col>5</xdr:col>
      <xdr:colOff>304799</xdr:colOff>
      <xdr:row>3</xdr:row>
      <xdr:rowOff>304800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90499" y="228600"/>
          <a:ext cx="3267075" cy="8191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The list below reflects survey responses to the question "What is your favorite pizza topping?"  Fill</a:t>
          </a:r>
          <a:r>
            <a:rPr lang="en-US" sz="1100" baseline="0"/>
            <a:t> out the green cells in the exhibit to the right by writing formulas.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228601</xdr:colOff>
      <xdr:row>1</xdr:row>
      <xdr:rowOff>38099</xdr:rowOff>
    </xdr:from>
    <xdr:to>
      <xdr:col>5</xdr:col>
      <xdr:colOff>790576</xdr:colOff>
      <xdr:row>7</xdr:row>
      <xdr:rowOff>76199</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28601" y="228599"/>
          <a:ext cx="4495800" cy="13716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The list</a:t>
          </a:r>
          <a:r>
            <a:rPr lang="en-US" sz="1100" baseline="0"/>
            <a:t> below contains someone's stock portfolio.  Each line item represents a different company with a different ticker.  However, each company belongs to a certain sector.  Fill out the green cells in the exhibit to the right by writing SUMIFS, COUNTIFS, and AVERAGEIFS formulas.  You should only need to write each formula once (use absolute references) and then copy and paste it down.</a:t>
          </a:r>
        </a:p>
        <a:p>
          <a:endParaRPr lang="en-US" sz="1100" baseline="0"/>
        </a:p>
        <a:p>
          <a:r>
            <a:rPr lang="en-US" sz="1100" baseline="0"/>
            <a:t>Hint: You may need to add additional columns in your data.</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257174</xdr:colOff>
      <xdr:row>0</xdr:row>
      <xdr:rowOff>171450</xdr:rowOff>
    </xdr:from>
    <xdr:to>
      <xdr:col>8</xdr:col>
      <xdr:colOff>9524</xdr:colOff>
      <xdr:row>4</xdr:row>
      <xdr:rowOff>85725</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257174" y="171450"/>
          <a:ext cx="4543425" cy="6762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The table below lists the widgets that are in our warehouse.</a:t>
          </a:r>
          <a:r>
            <a:rPr lang="en-US" sz="1100" baseline="0"/>
            <a:t>  Write formulas to answer the questions on the right.  Also, fill out the green cells in the tables.</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257175</xdr:colOff>
      <xdr:row>0</xdr:row>
      <xdr:rowOff>180975</xdr:rowOff>
    </xdr:from>
    <xdr:to>
      <xdr:col>8</xdr:col>
      <xdr:colOff>333375</xdr:colOff>
      <xdr:row>5</xdr:row>
      <xdr:rowOff>28575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257175" y="180975"/>
          <a:ext cx="6600825" cy="8001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The data below shows a list of widgets</a:t>
          </a:r>
          <a:r>
            <a:rPr lang="en-US" sz="1100" baseline="0"/>
            <a:t> that were sold.  Use VLOOKUPs to fill in the description and price.  Next, find a way to use a VLOOKUP to fill in the type based on the description.</a:t>
          </a:r>
        </a:p>
        <a:p>
          <a:endParaRPr lang="en-US" sz="1100" baseline="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180975</xdr:colOff>
      <xdr:row>0</xdr:row>
      <xdr:rowOff>85724</xdr:rowOff>
    </xdr:from>
    <xdr:to>
      <xdr:col>6</xdr:col>
      <xdr:colOff>361950</xdr:colOff>
      <xdr:row>3</xdr:row>
      <xdr:rowOff>171449</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180975" y="85724"/>
          <a:ext cx="5181600" cy="65722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In the data below, fill in the # of attendants at each location.</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47624</xdr:colOff>
      <xdr:row>1</xdr:row>
      <xdr:rowOff>47625</xdr:rowOff>
    </xdr:from>
    <xdr:to>
      <xdr:col>14</xdr:col>
      <xdr:colOff>38099</xdr:colOff>
      <xdr:row>4</xdr:row>
      <xdr:rowOff>85725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228724" y="238125"/>
          <a:ext cx="7753350" cy="6096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The data below</a:t>
          </a:r>
          <a:r>
            <a:rPr lang="en-US" sz="1100" baseline="0"/>
            <a:t> is from the CDC.  It shows flu testing results over a period of time.  Use conditional formatting to highlight the weeks when the % positive for flu was greater than average over the entire period.  Highlight these items in pink.  Use conditional formatting to highlight when the % positive for flu was in the top 10% over the period.  Highlight these items in red. </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342900</xdr:colOff>
      <xdr:row>0</xdr:row>
      <xdr:rowOff>123825</xdr:rowOff>
    </xdr:from>
    <xdr:to>
      <xdr:col>7</xdr:col>
      <xdr:colOff>161925</xdr:colOff>
      <xdr:row>3</xdr:row>
      <xdr:rowOff>95250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933450" y="123825"/>
          <a:ext cx="5324475" cy="54292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Format the</a:t>
          </a:r>
          <a:r>
            <a:rPr lang="en-US" sz="1100" baseline="0"/>
            <a:t> data below to make it more presentable.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7:K59"/>
  <sheetViews>
    <sheetView tabSelected="1" topLeftCell="A37" zoomScale="130" zoomScaleNormal="130" workbookViewId="0">
      <selection activeCell="A7" sqref="A7"/>
    </sheetView>
  </sheetViews>
  <sheetFormatPr defaultColWidth="8.88671875" defaultRowHeight="14.4" x14ac:dyDescent="0.3"/>
  <cols>
    <col min="2" max="2" width="18.6640625" bestFit="1" customWidth="1"/>
    <col min="4" max="4" width="14" bestFit="1" customWidth="1"/>
    <col min="5" max="5" width="9.88671875" bestFit="1" customWidth="1"/>
    <col min="6" max="6" width="13.109375" customWidth="1"/>
    <col min="9" max="9" width="14.109375" customWidth="1"/>
    <col min="10" max="10" width="28.44140625" customWidth="1"/>
    <col min="11" max="11" width="34.88671875" customWidth="1"/>
  </cols>
  <sheetData>
    <row r="7" spans="2:11" x14ac:dyDescent="0.3">
      <c r="B7" s="3" t="s">
        <v>131</v>
      </c>
      <c r="C7" s="3" t="s">
        <v>157</v>
      </c>
      <c r="D7" s="3" t="s">
        <v>132</v>
      </c>
      <c r="E7" s="3" t="s">
        <v>156</v>
      </c>
      <c r="F7" s="3" t="s">
        <v>154</v>
      </c>
      <c r="I7" s="3"/>
      <c r="J7" t="s">
        <v>349</v>
      </c>
      <c r="K7" t="s">
        <v>350</v>
      </c>
    </row>
    <row r="8" spans="2:11" x14ac:dyDescent="0.3">
      <c r="B8" t="s">
        <v>155</v>
      </c>
      <c r="C8" t="s">
        <v>155</v>
      </c>
      <c r="D8" t="s">
        <v>11</v>
      </c>
      <c r="E8" s="1">
        <v>9161074</v>
      </c>
      <c r="F8" s="1">
        <v>318857056</v>
      </c>
      <c r="I8" s="3" t="s">
        <v>131</v>
      </c>
      <c r="J8" s="3" t="s">
        <v>154</v>
      </c>
      <c r="K8" s="3" t="s">
        <v>132</v>
      </c>
    </row>
    <row r="9" spans="2:11" x14ac:dyDescent="0.3">
      <c r="B9" t="s">
        <v>153</v>
      </c>
      <c r="C9" t="s">
        <v>152</v>
      </c>
      <c r="D9" t="s">
        <v>151</v>
      </c>
      <c r="E9" s="1">
        <v>131414</v>
      </c>
      <c r="F9" s="1">
        <v>4849377</v>
      </c>
      <c r="I9" t="s">
        <v>144</v>
      </c>
      <c r="J9" s="2"/>
      <c r="K9" s="2"/>
    </row>
    <row r="10" spans="2:11" x14ac:dyDescent="0.3">
      <c r="B10" t="s">
        <v>150</v>
      </c>
      <c r="C10" t="s">
        <v>149</v>
      </c>
      <c r="D10" t="s">
        <v>148</v>
      </c>
      <c r="E10" s="1">
        <v>1481210</v>
      </c>
      <c r="F10" s="1">
        <v>736732</v>
      </c>
      <c r="I10" t="s">
        <v>141</v>
      </c>
      <c r="J10" s="2"/>
      <c r="K10" s="2"/>
    </row>
    <row r="11" spans="2:11" x14ac:dyDescent="0.3">
      <c r="B11" t="s">
        <v>147</v>
      </c>
      <c r="C11" t="s">
        <v>146</v>
      </c>
      <c r="D11" t="s">
        <v>145</v>
      </c>
      <c r="E11" s="1">
        <v>294285</v>
      </c>
      <c r="F11" s="1">
        <v>6731484</v>
      </c>
      <c r="I11" t="s">
        <v>138</v>
      </c>
      <c r="J11" s="2"/>
      <c r="K11" s="2"/>
    </row>
    <row r="12" spans="2:11" x14ac:dyDescent="0.3">
      <c r="B12" t="s">
        <v>144</v>
      </c>
      <c r="C12" t="s">
        <v>143</v>
      </c>
      <c r="D12" t="s">
        <v>142</v>
      </c>
      <c r="E12" s="1">
        <v>134843</v>
      </c>
      <c r="F12" s="1">
        <v>2966369</v>
      </c>
      <c r="I12" t="s">
        <v>119</v>
      </c>
      <c r="J12" s="2"/>
      <c r="K12" s="2"/>
    </row>
    <row r="13" spans="2:11" x14ac:dyDescent="0.3">
      <c r="B13" t="s">
        <v>141</v>
      </c>
      <c r="C13" t="s">
        <v>140</v>
      </c>
      <c r="D13" t="s">
        <v>139</v>
      </c>
      <c r="E13" s="1">
        <v>403895</v>
      </c>
      <c r="F13" s="1">
        <v>38802500</v>
      </c>
    </row>
    <row r="14" spans="2:11" x14ac:dyDescent="0.3">
      <c r="B14" t="s">
        <v>138</v>
      </c>
      <c r="C14" t="s">
        <v>137</v>
      </c>
      <c r="D14" t="s">
        <v>136</v>
      </c>
      <c r="E14" s="1">
        <v>268602</v>
      </c>
      <c r="F14" s="1">
        <v>5355866</v>
      </c>
      <c r="I14" s="3"/>
    </row>
    <row r="15" spans="2:11" x14ac:dyDescent="0.3">
      <c r="B15" t="s">
        <v>135</v>
      </c>
      <c r="C15" t="s">
        <v>134</v>
      </c>
      <c r="D15" t="s">
        <v>133</v>
      </c>
      <c r="E15" s="1">
        <v>12547</v>
      </c>
      <c r="F15" s="1">
        <v>3596677</v>
      </c>
      <c r="I15" s="3" t="s">
        <v>132</v>
      </c>
      <c r="J15" s="3" t="s">
        <v>131</v>
      </c>
      <c r="K15" t="s">
        <v>348</v>
      </c>
    </row>
    <row r="16" spans="2:11" x14ac:dyDescent="0.3">
      <c r="B16" t="s">
        <v>130</v>
      </c>
      <c r="C16" t="s">
        <v>129</v>
      </c>
      <c r="D16" t="s">
        <v>128</v>
      </c>
      <c r="E16" s="1">
        <v>5059</v>
      </c>
      <c r="F16" s="1">
        <v>935614</v>
      </c>
      <c r="I16" t="s">
        <v>111</v>
      </c>
      <c r="J16" s="2"/>
    </row>
    <row r="17" spans="2:10" x14ac:dyDescent="0.3">
      <c r="B17" t="s">
        <v>127</v>
      </c>
      <c r="C17" t="s">
        <v>126</v>
      </c>
      <c r="D17" t="s">
        <v>11</v>
      </c>
      <c r="E17">
        <v>159</v>
      </c>
      <c r="F17" s="1">
        <v>658893</v>
      </c>
      <c r="I17" t="s">
        <v>105</v>
      </c>
      <c r="J17" s="2"/>
    </row>
    <row r="18" spans="2:10" x14ac:dyDescent="0.3">
      <c r="B18" t="s">
        <v>125</v>
      </c>
      <c r="C18" t="s">
        <v>124</v>
      </c>
      <c r="D18" t="s">
        <v>123</v>
      </c>
      <c r="E18" s="1">
        <v>139657</v>
      </c>
      <c r="F18" s="1">
        <v>19893297</v>
      </c>
      <c r="I18" t="s">
        <v>78</v>
      </c>
      <c r="J18" s="2"/>
    </row>
    <row r="19" spans="2:10" x14ac:dyDescent="0.3">
      <c r="B19" t="s">
        <v>122</v>
      </c>
      <c r="C19" t="s">
        <v>121</v>
      </c>
      <c r="D19" t="s">
        <v>120</v>
      </c>
      <c r="E19" s="1">
        <v>149962</v>
      </c>
      <c r="F19" s="1">
        <v>10097343</v>
      </c>
      <c r="I19" t="s">
        <v>72</v>
      </c>
      <c r="J19" s="2"/>
    </row>
    <row r="20" spans="2:10" x14ac:dyDescent="0.3">
      <c r="B20" t="s">
        <v>119</v>
      </c>
      <c r="C20" t="s">
        <v>118</v>
      </c>
      <c r="D20" t="s">
        <v>117</v>
      </c>
      <c r="E20" s="1">
        <v>16633</v>
      </c>
      <c r="F20" s="1">
        <v>1419561</v>
      </c>
    </row>
    <row r="21" spans="2:10" x14ac:dyDescent="0.3">
      <c r="B21" t="s">
        <v>116</v>
      </c>
      <c r="C21" t="s">
        <v>115</v>
      </c>
      <c r="D21" t="s">
        <v>114</v>
      </c>
      <c r="E21" s="1">
        <v>214294</v>
      </c>
      <c r="F21" s="1">
        <v>1634464</v>
      </c>
    </row>
    <row r="22" spans="2:10" x14ac:dyDescent="0.3">
      <c r="B22" t="s">
        <v>113</v>
      </c>
      <c r="C22" t="s">
        <v>112</v>
      </c>
      <c r="D22" t="s">
        <v>111</v>
      </c>
      <c r="E22" s="1">
        <v>143947</v>
      </c>
      <c r="F22" s="1">
        <v>12880580</v>
      </c>
    </row>
    <row r="23" spans="2:10" x14ac:dyDescent="0.3">
      <c r="B23" t="s">
        <v>110</v>
      </c>
      <c r="C23" t="s">
        <v>109</v>
      </c>
      <c r="D23" t="s">
        <v>108</v>
      </c>
      <c r="E23" s="1">
        <v>92886</v>
      </c>
      <c r="F23" s="1">
        <v>6596855</v>
      </c>
    </row>
    <row r="24" spans="2:10" x14ac:dyDescent="0.3">
      <c r="B24" t="s">
        <v>107</v>
      </c>
      <c r="C24" t="s">
        <v>106</v>
      </c>
      <c r="D24" t="s">
        <v>105</v>
      </c>
      <c r="E24" s="1">
        <v>144688</v>
      </c>
      <c r="F24" s="1">
        <v>3107126</v>
      </c>
    </row>
    <row r="25" spans="2:10" x14ac:dyDescent="0.3">
      <c r="B25" t="s">
        <v>104</v>
      </c>
      <c r="C25" t="s">
        <v>103</v>
      </c>
      <c r="D25" t="s">
        <v>102</v>
      </c>
      <c r="E25" s="1">
        <v>211880</v>
      </c>
      <c r="F25" s="1">
        <v>2904021</v>
      </c>
    </row>
    <row r="26" spans="2:10" x14ac:dyDescent="0.3">
      <c r="B26" t="s">
        <v>101</v>
      </c>
      <c r="C26" t="s">
        <v>100</v>
      </c>
      <c r="D26" t="s">
        <v>99</v>
      </c>
      <c r="E26" s="1">
        <v>102886</v>
      </c>
      <c r="F26" s="1">
        <v>4413457</v>
      </c>
    </row>
    <row r="27" spans="2:10" x14ac:dyDescent="0.3">
      <c r="B27" t="s">
        <v>98</v>
      </c>
      <c r="C27" t="s">
        <v>97</v>
      </c>
      <c r="D27" t="s">
        <v>96</v>
      </c>
      <c r="E27" s="1">
        <v>112814</v>
      </c>
      <c r="F27" s="1">
        <v>4649676</v>
      </c>
    </row>
    <row r="28" spans="2:10" x14ac:dyDescent="0.3">
      <c r="B28" t="s">
        <v>95</v>
      </c>
      <c r="C28" t="s">
        <v>94</v>
      </c>
      <c r="D28" t="s">
        <v>93</v>
      </c>
      <c r="E28" s="1">
        <v>79924</v>
      </c>
      <c r="F28" s="1">
        <v>1330089</v>
      </c>
    </row>
    <row r="29" spans="2:10" x14ac:dyDescent="0.3">
      <c r="B29" t="s">
        <v>92</v>
      </c>
      <c r="C29" t="s">
        <v>91</v>
      </c>
      <c r="D29" t="s">
        <v>90</v>
      </c>
      <c r="E29" s="1">
        <v>25312</v>
      </c>
      <c r="F29" s="1">
        <v>5976407</v>
      </c>
    </row>
    <row r="30" spans="2:10" x14ac:dyDescent="0.3">
      <c r="B30" t="s">
        <v>89</v>
      </c>
      <c r="C30" t="s">
        <v>88</v>
      </c>
      <c r="D30" t="s">
        <v>87</v>
      </c>
      <c r="E30" s="1">
        <v>20304</v>
      </c>
      <c r="F30" s="1">
        <v>6745408</v>
      </c>
    </row>
    <row r="31" spans="2:10" x14ac:dyDescent="0.3">
      <c r="B31" t="s">
        <v>86</v>
      </c>
      <c r="C31" t="s">
        <v>85</v>
      </c>
      <c r="D31" t="s">
        <v>84</v>
      </c>
      <c r="E31" s="1">
        <v>147108</v>
      </c>
      <c r="F31" s="1">
        <v>9909877</v>
      </c>
    </row>
    <row r="32" spans="2:10" x14ac:dyDescent="0.3">
      <c r="B32" t="s">
        <v>83</v>
      </c>
      <c r="C32" t="s">
        <v>82</v>
      </c>
      <c r="D32" t="s">
        <v>81</v>
      </c>
      <c r="E32" s="1">
        <v>206170</v>
      </c>
      <c r="F32" s="1">
        <v>5457173</v>
      </c>
    </row>
    <row r="33" spans="2:6" x14ac:dyDescent="0.3">
      <c r="B33" t="s">
        <v>80</v>
      </c>
      <c r="C33" t="s">
        <v>79</v>
      </c>
      <c r="D33" t="s">
        <v>78</v>
      </c>
      <c r="E33" s="1">
        <v>121477</v>
      </c>
      <c r="F33" s="1">
        <v>2994079</v>
      </c>
    </row>
    <row r="34" spans="2:6" x14ac:dyDescent="0.3">
      <c r="B34" t="s">
        <v>77</v>
      </c>
      <c r="C34" t="s">
        <v>76</v>
      </c>
      <c r="D34" t="s">
        <v>75</v>
      </c>
      <c r="E34" s="1">
        <v>178397</v>
      </c>
      <c r="F34" s="1">
        <v>6063589</v>
      </c>
    </row>
    <row r="35" spans="2:6" x14ac:dyDescent="0.3">
      <c r="B35" t="s">
        <v>74</v>
      </c>
      <c r="C35" t="s">
        <v>73</v>
      </c>
      <c r="D35" t="s">
        <v>72</v>
      </c>
      <c r="E35" s="1">
        <v>376944</v>
      </c>
      <c r="F35" s="1">
        <v>1023579</v>
      </c>
    </row>
    <row r="36" spans="2:6" x14ac:dyDescent="0.3">
      <c r="B36" t="s">
        <v>71</v>
      </c>
      <c r="C36" t="s">
        <v>70</v>
      </c>
      <c r="D36" t="s">
        <v>69</v>
      </c>
      <c r="E36" s="1">
        <v>199080</v>
      </c>
      <c r="F36" s="1">
        <v>1881503</v>
      </c>
    </row>
    <row r="37" spans="2:6" x14ac:dyDescent="0.3">
      <c r="B37" t="s">
        <v>68</v>
      </c>
      <c r="C37" t="s">
        <v>67</v>
      </c>
      <c r="D37" t="s">
        <v>66</v>
      </c>
      <c r="E37" s="1">
        <v>284422</v>
      </c>
      <c r="F37" s="1">
        <v>2839099</v>
      </c>
    </row>
    <row r="38" spans="2:6" x14ac:dyDescent="0.3">
      <c r="B38" t="s">
        <v>65</v>
      </c>
      <c r="C38" t="s">
        <v>64</v>
      </c>
      <c r="D38" t="s">
        <v>63</v>
      </c>
      <c r="E38" s="1">
        <v>23225</v>
      </c>
      <c r="F38" s="1">
        <v>1326813</v>
      </c>
    </row>
    <row r="39" spans="2:6" x14ac:dyDescent="0.3">
      <c r="B39" t="s">
        <v>62</v>
      </c>
      <c r="C39" t="s">
        <v>61</v>
      </c>
      <c r="D39" t="s">
        <v>60</v>
      </c>
      <c r="E39" s="1">
        <v>19209</v>
      </c>
      <c r="F39" s="1">
        <v>8938175</v>
      </c>
    </row>
    <row r="40" spans="2:6" x14ac:dyDescent="0.3">
      <c r="B40" t="s">
        <v>59</v>
      </c>
      <c r="C40" t="s">
        <v>58</v>
      </c>
      <c r="D40" t="s">
        <v>57</v>
      </c>
      <c r="E40" s="1">
        <v>314280</v>
      </c>
      <c r="F40" s="1">
        <v>2085572</v>
      </c>
    </row>
    <row r="41" spans="2:6" x14ac:dyDescent="0.3">
      <c r="B41" t="s">
        <v>56</v>
      </c>
      <c r="C41" t="s">
        <v>55</v>
      </c>
      <c r="D41" t="s">
        <v>54</v>
      </c>
      <c r="E41" s="1">
        <v>122272</v>
      </c>
      <c r="F41" s="1">
        <v>19746227</v>
      </c>
    </row>
    <row r="42" spans="2:6" x14ac:dyDescent="0.3">
      <c r="B42" t="s">
        <v>53</v>
      </c>
      <c r="C42" t="s">
        <v>52</v>
      </c>
      <c r="D42" t="s">
        <v>51</v>
      </c>
      <c r="E42" s="1">
        <v>126149</v>
      </c>
      <c r="F42" s="1">
        <v>9943964</v>
      </c>
    </row>
    <row r="43" spans="2:6" x14ac:dyDescent="0.3">
      <c r="B43" t="s">
        <v>50</v>
      </c>
      <c r="C43" t="s">
        <v>49</v>
      </c>
      <c r="D43" t="s">
        <v>48</v>
      </c>
      <c r="E43" s="1">
        <v>178630</v>
      </c>
      <c r="F43" s="1">
        <v>739482</v>
      </c>
    </row>
    <row r="44" spans="2:6" x14ac:dyDescent="0.3">
      <c r="B44" t="s">
        <v>47</v>
      </c>
      <c r="C44" t="s">
        <v>46</v>
      </c>
      <c r="D44" t="s">
        <v>45</v>
      </c>
      <c r="E44" s="1">
        <v>106046</v>
      </c>
      <c r="F44" s="1">
        <v>11594163</v>
      </c>
    </row>
    <row r="45" spans="2:6" x14ac:dyDescent="0.3">
      <c r="B45" t="s">
        <v>44</v>
      </c>
      <c r="C45" t="s">
        <v>43</v>
      </c>
      <c r="D45" t="s">
        <v>42</v>
      </c>
      <c r="E45" s="1">
        <v>177830</v>
      </c>
      <c r="F45" s="1">
        <v>3878051</v>
      </c>
    </row>
    <row r="46" spans="2:6" x14ac:dyDescent="0.3">
      <c r="B46" t="s">
        <v>41</v>
      </c>
      <c r="C46" t="s">
        <v>40</v>
      </c>
      <c r="D46" t="s">
        <v>39</v>
      </c>
      <c r="E46" s="1">
        <v>248607</v>
      </c>
      <c r="F46" s="1">
        <v>3970239</v>
      </c>
    </row>
    <row r="47" spans="2:6" x14ac:dyDescent="0.3">
      <c r="B47" t="s">
        <v>38</v>
      </c>
      <c r="C47" t="s">
        <v>37</v>
      </c>
      <c r="D47" t="s">
        <v>36</v>
      </c>
      <c r="E47" s="1">
        <v>116064</v>
      </c>
      <c r="F47" s="1">
        <v>12787209</v>
      </c>
    </row>
    <row r="48" spans="2:6" x14ac:dyDescent="0.3">
      <c r="B48" t="s">
        <v>35</v>
      </c>
      <c r="C48" t="s">
        <v>34</v>
      </c>
      <c r="D48" t="s">
        <v>33</v>
      </c>
      <c r="E48" s="1">
        <v>2706</v>
      </c>
      <c r="F48" s="1">
        <v>1055173</v>
      </c>
    </row>
    <row r="49" spans="2:6" x14ac:dyDescent="0.3">
      <c r="B49" t="s">
        <v>32</v>
      </c>
      <c r="C49" t="s">
        <v>31</v>
      </c>
      <c r="D49" t="s">
        <v>30</v>
      </c>
      <c r="E49" s="1">
        <v>77976</v>
      </c>
      <c r="F49" s="1">
        <v>4832482</v>
      </c>
    </row>
    <row r="50" spans="2:6" x14ac:dyDescent="0.3">
      <c r="B50" t="s">
        <v>29</v>
      </c>
      <c r="C50" t="s">
        <v>28</v>
      </c>
      <c r="D50" t="s">
        <v>27</v>
      </c>
      <c r="E50" s="1">
        <v>196522</v>
      </c>
      <c r="F50" s="1">
        <v>853175</v>
      </c>
    </row>
    <row r="51" spans="2:6" x14ac:dyDescent="0.3">
      <c r="B51" t="s">
        <v>26</v>
      </c>
      <c r="C51" t="s">
        <v>25</v>
      </c>
      <c r="D51" t="s">
        <v>24</v>
      </c>
      <c r="E51" s="1">
        <v>106742</v>
      </c>
      <c r="F51" s="1">
        <v>6549352</v>
      </c>
    </row>
    <row r="52" spans="2:6" x14ac:dyDescent="0.3">
      <c r="B52" t="s">
        <v>23</v>
      </c>
      <c r="C52" t="s">
        <v>22</v>
      </c>
      <c r="D52" t="s">
        <v>21</v>
      </c>
      <c r="E52" s="1">
        <v>677989</v>
      </c>
      <c r="F52" s="1">
        <v>26956958</v>
      </c>
    </row>
    <row r="53" spans="2:6" x14ac:dyDescent="0.3">
      <c r="B53" t="s">
        <v>20</v>
      </c>
      <c r="C53" t="s">
        <v>19</v>
      </c>
      <c r="D53" t="s">
        <v>18</v>
      </c>
      <c r="E53" s="1">
        <v>212731</v>
      </c>
      <c r="F53" s="1">
        <v>2942902</v>
      </c>
    </row>
    <row r="54" spans="2:6" x14ac:dyDescent="0.3">
      <c r="B54" t="s">
        <v>17</v>
      </c>
      <c r="C54" t="s">
        <v>16</v>
      </c>
      <c r="D54" t="s">
        <v>15</v>
      </c>
      <c r="E54" s="1">
        <v>23954</v>
      </c>
      <c r="F54" s="1">
        <v>626562</v>
      </c>
    </row>
    <row r="55" spans="2:6" x14ac:dyDescent="0.3">
      <c r="B55" t="s">
        <v>14</v>
      </c>
      <c r="C55" t="s">
        <v>13</v>
      </c>
      <c r="D55" t="s">
        <v>12</v>
      </c>
      <c r="E55" s="1">
        <v>102539</v>
      </c>
      <c r="F55" s="1">
        <v>8326289</v>
      </c>
    </row>
    <row r="56" spans="2:6" x14ac:dyDescent="0.3">
      <c r="B56" t="s">
        <v>11</v>
      </c>
      <c r="C56" t="s">
        <v>10</v>
      </c>
      <c r="D56" t="s">
        <v>9</v>
      </c>
      <c r="E56" s="1">
        <v>172332</v>
      </c>
      <c r="F56" s="1">
        <v>7061530</v>
      </c>
    </row>
    <row r="57" spans="2:6" x14ac:dyDescent="0.3">
      <c r="B57" t="s">
        <v>8</v>
      </c>
      <c r="C57" t="s">
        <v>7</v>
      </c>
      <c r="D57" t="s">
        <v>6</v>
      </c>
      <c r="E57" s="1">
        <v>62355</v>
      </c>
      <c r="F57" s="1">
        <v>1850326</v>
      </c>
    </row>
    <row r="58" spans="2:6" x14ac:dyDescent="0.3">
      <c r="B58" t="s">
        <v>5</v>
      </c>
      <c r="C58" t="s">
        <v>4</v>
      </c>
      <c r="D58" t="s">
        <v>3</v>
      </c>
      <c r="E58" s="1">
        <v>140649</v>
      </c>
      <c r="F58" s="1">
        <v>5757564</v>
      </c>
    </row>
    <row r="59" spans="2:6" x14ac:dyDescent="0.3">
      <c r="B59" t="s">
        <v>2</v>
      </c>
      <c r="C59" t="s">
        <v>1</v>
      </c>
      <c r="D59" t="s">
        <v>0</v>
      </c>
      <c r="E59" s="1">
        <v>251466</v>
      </c>
      <c r="F59" s="1">
        <v>584153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5:Q17"/>
  <sheetViews>
    <sheetView zoomScale="115" zoomScaleNormal="115" workbookViewId="0">
      <selection activeCell="H11" sqref="H11"/>
    </sheetView>
  </sheetViews>
  <sheetFormatPr defaultColWidth="8.88671875" defaultRowHeight="14.4" x14ac:dyDescent="0.3"/>
  <cols>
    <col min="3" max="3" width="12.109375" bestFit="1" customWidth="1"/>
    <col min="4" max="4" width="12.44140625" customWidth="1"/>
    <col min="5" max="5" width="16.33203125" bestFit="1" customWidth="1"/>
    <col min="17" max="17" width="13.109375" customWidth="1"/>
    <col min="18" max="18" width="15.33203125" customWidth="1"/>
    <col min="19" max="19" width="14" bestFit="1" customWidth="1"/>
  </cols>
  <sheetData>
    <row r="5" spans="3:17" x14ac:dyDescent="0.3">
      <c r="C5" s="4" t="s">
        <v>159</v>
      </c>
      <c r="D5" s="5" t="s">
        <v>160</v>
      </c>
      <c r="E5" s="4" t="s">
        <v>161</v>
      </c>
    </row>
    <row r="6" spans="3:17" x14ac:dyDescent="0.3">
      <c r="C6" s="6">
        <v>2</v>
      </c>
      <c r="D6" s="6">
        <v>10</v>
      </c>
      <c r="E6" s="6" t="s">
        <v>162</v>
      </c>
      <c r="H6" t="s">
        <v>163</v>
      </c>
      <c r="Q6" s="29"/>
    </row>
    <row r="7" spans="3:17" x14ac:dyDescent="0.3">
      <c r="C7" s="6">
        <f>C6+1</f>
        <v>3</v>
      </c>
      <c r="D7" s="6">
        <v>14</v>
      </c>
      <c r="E7" s="6">
        <f>D7-D6</f>
        <v>4</v>
      </c>
      <c r="H7" s="2" t="s">
        <v>350</v>
      </c>
      <c r="Q7" s="29"/>
    </row>
    <row r="8" spans="3:17" x14ac:dyDescent="0.3">
      <c r="C8" s="6">
        <f t="shared" ref="C8:C17" si="0">C7+1</f>
        <v>4</v>
      </c>
      <c r="D8" s="6">
        <v>20</v>
      </c>
      <c r="E8" s="6">
        <f t="shared" ref="E8:E17" si="1">D8-D7</f>
        <v>6</v>
      </c>
      <c r="H8" t="s">
        <v>164</v>
      </c>
      <c r="Q8" s="29"/>
    </row>
    <row r="9" spans="3:17" x14ac:dyDescent="0.3">
      <c r="C9" s="6">
        <f t="shared" si="0"/>
        <v>5</v>
      </c>
      <c r="D9" s="6">
        <v>24</v>
      </c>
      <c r="E9" s="6">
        <f t="shared" si="1"/>
        <v>4</v>
      </c>
      <c r="H9" s="2" t="s">
        <v>350</v>
      </c>
      <c r="Q9" s="29"/>
    </row>
    <row r="10" spans="3:17" x14ac:dyDescent="0.3">
      <c r="C10" s="6">
        <f t="shared" si="0"/>
        <v>6</v>
      </c>
      <c r="D10" s="6">
        <v>27</v>
      </c>
      <c r="E10" s="6">
        <f t="shared" si="1"/>
        <v>3</v>
      </c>
      <c r="H10" t="s">
        <v>165</v>
      </c>
      <c r="Q10" s="29"/>
    </row>
    <row r="11" spans="3:17" x14ac:dyDescent="0.3">
      <c r="C11" s="6">
        <f t="shared" si="0"/>
        <v>7</v>
      </c>
      <c r="D11" s="6">
        <v>29</v>
      </c>
      <c r="E11" s="6">
        <f t="shared" si="1"/>
        <v>2</v>
      </c>
      <c r="H11" s="2"/>
      <c r="Q11" s="29"/>
    </row>
    <row r="12" spans="3:17" x14ac:dyDescent="0.3">
      <c r="C12" s="6">
        <f t="shared" si="0"/>
        <v>8</v>
      </c>
      <c r="D12" s="6">
        <v>31</v>
      </c>
      <c r="E12" s="6">
        <f t="shared" si="1"/>
        <v>2</v>
      </c>
      <c r="H12" t="s">
        <v>166</v>
      </c>
      <c r="Q12" s="29"/>
    </row>
    <row r="13" spans="3:17" x14ac:dyDescent="0.3">
      <c r="C13" s="6">
        <f t="shared" si="0"/>
        <v>9</v>
      </c>
      <c r="D13" s="6">
        <v>32</v>
      </c>
      <c r="E13" s="6">
        <f t="shared" si="1"/>
        <v>1</v>
      </c>
      <c r="H13" s="2"/>
      <c r="Q13" s="29"/>
    </row>
    <row r="14" spans="3:17" x14ac:dyDescent="0.3">
      <c r="C14" s="6">
        <f t="shared" si="0"/>
        <v>10</v>
      </c>
      <c r="D14" s="6">
        <v>33</v>
      </c>
      <c r="E14" s="6">
        <f t="shared" si="1"/>
        <v>1</v>
      </c>
      <c r="Q14" s="29"/>
    </row>
    <row r="15" spans="3:17" x14ac:dyDescent="0.3">
      <c r="C15" s="6">
        <f t="shared" si="0"/>
        <v>11</v>
      </c>
      <c r="D15" s="6">
        <v>32</v>
      </c>
      <c r="E15" s="6">
        <f t="shared" si="1"/>
        <v>-1</v>
      </c>
    </row>
    <row r="16" spans="3:17" x14ac:dyDescent="0.3">
      <c r="C16" s="6">
        <f t="shared" si="0"/>
        <v>12</v>
      </c>
      <c r="D16" s="6">
        <v>32</v>
      </c>
      <c r="E16" s="6">
        <f t="shared" si="1"/>
        <v>0</v>
      </c>
    </row>
    <row r="17" spans="3:5" x14ac:dyDescent="0.3">
      <c r="C17" s="6">
        <f t="shared" si="0"/>
        <v>13</v>
      </c>
      <c r="D17" s="6">
        <v>31</v>
      </c>
      <c r="E17" s="6">
        <f t="shared" si="1"/>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5:J25"/>
  <sheetViews>
    <sheetView topLeftCell="A16" workbookViewId="0">
      <selection activeCell="J25" sqref="J25"/>
    </sheetView>
  </sheetViews>
  <sheetFormatPr defaultColWidth="8.88671875" defaultRowHeight="14.4" x14ac:dyDescent="0.3"/>
  <cols>
    <col min="3" max="7" width="11" customWidth="1"/>
  </cols>
  <sheetData>
    <row r="5" spans="3:7" x14ac:dyDescent="0.3">
      <c r="C5" s="7" t="s">
        <v>167</v>
      </c>
      <c r="D5" s="8"/>
    </row>
    <row r="6" spans="3:7" x14ac:dyDescent="0.3">
      <c r="C6" s="9" t="s">
        <v>168</v>
      </c>
      <c r="D6" s="10" t="s">
        <v>169</v>
      </c>
    </row>
    <row r="7" spans="3:7" x14ac:dyDescent="0.3">
      <c r="C7" t="s">
        <v>170</v>
      </c>
      <c r="D7" s="11">
        <v>0.5</v>
      </c>
    </row>
    <row r="8" spans="3:7" x14ac:dyDescent="0.3">
      <c r="C8" t="s">
        <v>171</v>
      </c>
      <c r="D8" s="11">
        <v>1</v>
      </c>
    </row>
    <row r="9" spans="3:7" x14ac:dyDescent="0.3">
      <c r="C9" t="s">
        <v>172</v>
      </c>
      <c r="D9" s="11">
        <v>0.75</v>
      </c>
    </row>
    <row r="10" spans="3:7" x14ac:dyDescent="0.3">
      <c r="C10" s="12" t="s">
        <v>173</v>
      </c>
      <c r="D10" s="13">
        <v>2</v>
      </c>
    </row>
    <row r="13" spans="3:7" x14ac:dyDescent="0.3">
      <c r="C13" s="7" t="s">
        <v>174</v>
      </c>
      <c r="D13" s="7"/>
      <c r="E13" s="7"/>
      <c r="F13" s="7"/>
      <c r="G13" s="7"/>
    </row>
    <row r="14" spans="3:7" x14ac:dyDescent="0.3">
      <c r="C14" s="14" t="s">
        <v>175</v>
      </c>
      <c r="D14" s="14" t="s">
        <v>172</v>
      </c>
      <c r="E14" s="14" t="s">
        <v>171</v>
      </c>
      <c r="F14" s="14" t="s">
        <v>170</v>
      </c>
      <c r="G14" s="14" t="s">
        <v>173</v>
      </c>
    </row>
    <row r="15" spans="3:7" x14ac:dyDescent="0.3">
      <c r="C15">
        <v>2016</v>
      </c>
      <c r="D15" s="15">
        <v>1000</v>
      </c>
      <c r="E15" s="15">
        <v>50</v>
      </c>
      <c r="F15" s="15">
        <v>1200</v>
      </c>
      <c r="G15" s="15">
        <v>1300</v>
      </c>
    </row>
    <row r="16" spans="3:7" x14ac:dyDescent="0.3">
      <c r="C16">
        <v>2017</v>
      </c>
      <c r="D16" s="15">
        <v>1200</v>
      </c>
      <c r="E16" s="15">
        <v>43</v>
      </c>
      <c r="F16" s="15">
        <v>1100</v>
      </c>
      <c r="G16" s="15">
        <v>1200</v>
      </c>
    </row>
    <row r="17" spans="3:10" x14ac:dyDescent="0.3">
      <c r="C17" s="12">
        <v>2018</v>
      </c>
      <c r="D17" s="16">
        <v>1300</v>
      </c>
      <c r="E17" s="16">
        <v>41</v>
      </c>
      <c r="F17" s="16">
        <v>1050</v>
      </c>
      <c r="G17" s="16">
        <v>1100</v>
      </c>
    </row>
    <row r="21" spans="3:10" x14ac:dyDescent="0.3">
      <c r="C21" s="7" t="s">
        <v>176</v>
      </c>
      <c r="D21" s="8"/>
      <c r="E21" s="8"/>
      <c r="F21" s="8"/>
      <c r="G21" s="8"/>
      <c r="H21" s="8"/>
      <c r="I21" s="8"/>
      <c r="J21" s="8"/>
    </row>
    <row r="22" spans="3:10" x14ac:dyDescent="0.3">
      <c r="C22" s="17"/>
      <c r="D22" s="17"/>
      <c r="E22" s="18" t="s">
        <v>177</v>
      </c>
      <c r="F22" s="18"/>
      <c r="G22" s="18"/>
      <c r="H22" s="18" t="s">
        <v>178</v>
      </c>
      <c r="I22" s="19"/>
      <c r="J22" s="19"/>
    </row>
    <row r="23" spans="3:10" x14ac:dyDescent="0.3">
      <c r="C23" s="20" t="s">
        <v>179</v>
      </c>
      <c r="D23" s="14" t="s">
        <v>169</v>
      </c>
      <c r="E23" s="20">
        <v>2016</v>
      </c>
      <c r="F23" s="20">
        <v>2017</v>
      </c>
      <c r="G23" s="20">
        <v>2018</v>
      </c>
      <c r="H23" s="20">
        <v>2016</v>
      </c>
      <c r="I23" s="20">
        <v>2017</v>
      </c>
      <c r="J23" s="20">
        <v>2018</v>
      </c>
    </row>
    <row r="24" spans="3:10" x14ac:dyDescent="0.3">
      <c r="C24" t="s">
        <v>170</v>
      </c>
      <c r="D24" s="36">
        <f>VLOOKUP(C24,$C$6:$D$10,2,0)</f>
        <v>0.5</v>
      </c>
      <c r="E24" s="35">
        <f>INDEX($D$15:$G$17,MATCH($C24,$D$14:$G$14,0),MATCH(E$23,$C$15:$C$17,0))</f>
        <v>1300</v>
      </c>
      <c r="F24" s="35">
        <f t="shared" ref="F24:G25" si="0">INDEX($D$15:$G$17,MATCH($C24,$D$14:$G$14,0),MATCH(F$23,$C$15:$C$17,0))</f>
        <v>41</v>
      </c>
      <c r="G24" s="35">
        <f t="shared" si="0"/>
        <v>1050</v>
      </c>
      <c r="H24" s="35">
        <f>E24*$D$24</f>
        <v>650</v>
      </c>
      <c r="I24" s="35">
        <f t="shared" ref="I24:J24" si="1">F24*$D$24</f>
        <v>20.5</v>
      </c>
      <c r="J24" s="35">
        <f t="shared" si="1"/>
        <v>525</v>
      </c>
    </row>
    <row r="25" spans="3:10" x14ac:dyDescent="0.3">
      <c r="C25" s="12" t="s">
        <v>172</v>
      </c>
      <c r="D25" s="36">
        <f>VLOOKUP(C25,$C$6:$D$10,2,0)</f>
        <v>0.75</v>
      </c>
      <c r="E25" s="35">
        <f>INDEX($D$15:$G$17,MATCH($C25,$D$14:$G$14,0),MATCH(E$23,$C$15:$C$17,0))</f>
        <v>1000</v>
      </c>
      <c r="F25" s="35">
        <f t="shared" si="0"/>
        <v>50</v>
      </c>
      <c r="G25" s="35">
        <f t="shared" si="0"/>
        <v>1200</v>
      </c>
      <c r="H25" s="35">
        <f>E25*$D$25</f>
        <v>750</v>
      </c>
      <c r="I25" s="35">
        <f t="shared" ref="I25:J25" si="2">F25*$D$25</f>
        <v>37.5</v>
      </c>
      <c r="J25" s="35">
        <f t="shared" si="2"/>
        <v>900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7:K15"/>
  <sheetViews>
    <sheetView workbookViewId="0">
      <selection activeCell="J8" sqref="J8"/>
    </sheetView>
  </sheetViews>
  <sheetFormatPr defaultColWidth="8.88671875" defaultRowHeight="14.4" x14ac:dyDescent="0.3"/>
  <cols>
    <col min="1" max="2" width="11.88671875" bestFit="1" customWidth="1"/>
    <col min="3" max="3" width="14.44140625" bestFit="1" customWidth="1"/>
    <col min="5" max="5" width="2" customWidth="1"/>
    <col min="6" max="6" width="2.88671875" customWidth="1"/>
    <col min="8" max="8" width="15" bestFit="1" customWidth="1"/>
    <col min="9" max="9" width="19.109375" customWidth="1"/>
    <col min="10" max="10" width="17.88671875" customWidth="1"/>
    <col min="11" max="11" width="9.33203125" bestFit="1" customWidth="1"/>
  </cols>
  <sheetData>
    <row r="7" spans="1:11" x14ac:dyDescent="0.3">
      <c r="B7" s="21" t="s">
        <v>180</v>
      </c>
      <c r="C7" s="22"/>
      <c r="D7" s="22"/>
    </row>
    <row r="8" spans="1:11" x14ac:dyDescent="0.3">
      <c r="B8" s="4" t="s">
        <v>181</v>
      </c>
      <c r="C8" s="4" t="s">
        <v>182</v>
      </c>
      <c r="D8" s="4" t="s">
        <v>183</v>
      </c>
      <c r="G8" s="23" t="s">
        <v>158</v>
      </c>
      <c r="H8" s="4" t="s">
        <v>184</v>
      </c>
      <c r="I8" s="4" t="s">
        <v>185</v>
      </c>
      <c r="J8" s="4" t="s">
        <v>186</v>
      </c>
    </row>
    <row r="9" spans="1:11" x14ac:dyDescent="0.3">
      <c r="A9" s="24"/>
      <c r="B9" s="24">
        <v>0</v>
      </c>
      <c r="C9" s="24">
        <v>9225</v>
      </c>
      <c r="D9" s="25">
        <v>0.1</v>
      </c>
      <c r="G9" t="s">
        <v>187</v>
      </c>
      <c r="H9" s="24">
        <v>5000</v>
      </c>
      <c r="I9" s="37">
        <f>VLOOKUP(H9,{"Lower End","Upper End","Tax Rate";0,9225,0.1;9226,37450,0.15;37451,90750,0.25;90751,189300,0.28;189301,411500,0.33;411501,413200,0.35;413201,99999999,0.396},3,1)</f>
        <v>0.1</v>
      </c>
      <c r="J9" s="38">
        <f>H9*I9</f>
        <v>500</v>
      </c>
      <c r="K9" s="24"/>
    </row>
    <row r="10" spans="1:11" x14ac:dyDescent="0.3">
      <c r="A10" s="24"/>
      <c r="B10" s="24">
        <v>9226</v>
      </c>
      <c r="C10" s="24">
        <v>37450</v>
      </c>
      <c r="D10" s="25">
        <v>0.15</v>
      </c>
      <c r="G10" t="s">
        <v>188</v>
      </c>
      <c r="H10" s="24">
        <v>10000</v>
      </c>
      <c r="I10" s="37">
        <f>VLOOKUP(H10,{"Lower End","Upper End","Tax Rate";0,9225,0.1;9226,37450,0.15;37451,90750,0.25;90751,189300,0.28;189301,411500,0.33;411501,413200,0.35;413201,99999999,0.396},3,1)</f>
        <v>0.15</v>
      </c>
      <c r="J10" s="38">
        <f t="shared" ref="J10:J13" si="0">H10*I10</f>
        <v>1500</v>
      </c>
      <c r="K10" s="24"/>
    </row>
    <row r="11" spans="1:11" x14ac:dyDescent="0.3">
      <c r="A11" s="24"/>
      <c r="B11" s="24">
        <v>37451</v>
      </c>
      <c r="C11" s="24">
        <v>90750</v>
      </c>
      <c r="D11" s="25">
        <v>0.25</v>
      </c>
      <c r="G11" t="s">
        <v>189</v>
      </c>
      <c r="H11" s="24">
        <v>60000</v>
      </c>
      <c r="I11" s="37">
        <f>VLOOKUP(H11,{"Lower End","Upper End","Tax Rate";0,9225,0.1;9226,37450,0.15;37451,90750,0.25;90751,189300,0.28;189301,411500,0.33;411501,413200,0.35;413201,99999999,0.396},3,1)</f>
        <v>0.25</v>
      </c>
      <c r="J11" s="38">
        <f t="shared" si="0"/>
        <v>15000</v>
      </c>
      <c r="K11" s="24"/>
    </row>
    <row r="12" spans="1:11" x14ac:dyDescent="0.3">
      <c r="A12" s="24"/>
      <c r="B12" s="24">
        <v>90751</v>
      </c>
      <c r="C12" s="24">
        <v>189300</v>
      </c>
      <c r="D12" s="25">
        <v>0.28000000000000003</v>
      </c>
      <c r="G12" t="s">
        <v>190</v>
      </c>
      <c r="H12" s="24">
        <v>189301</v>
      </c>
      <c r="I12" s="37">
        <f>VLOOKUP(H12,{"Lower End","Upper End","Tax Rate";0,9225,0.1;9226,37450,0.15;37451,90750,0.25;90751,189300,0.28;189301,411500,0.33;411501,413200,0.35;413201,99999999,0.396},3,1)</f>
        <v>0.33</v>
      </c>
      <c r="J12" s="38">
        <f t="shared" si="0"/>
        <v>62469.33</v>
      </c>
      <c r="K12" s="24"/>
    </row>
    <row r="13" spans="1:11" x14ac:dyDescent="0.3">
      <c r="A13" s="24"/>
      <c r="B13" s="24">
        <v>189301</v>
      </c>
      <c r="C13" s="24">
        <v>411500</v>
      </c>
      <c r="D13" s="25">
        <v>0.33</v>
      </c>
      <c r="G13" t="s">
        <v>191</v>
      </c>
      <c r="H13" s="24">
        <v>500000</v>
      </c>
      <c r="I13" s="37">
        <f>VLOOKUP(H13,{"Lower End","Upper End","Tax Rate";0,9225,0.1;9226,37450,0.15;37451,90750,0.25;90751,189300,0.28;189301,411500,0.33;411501,413200,0.35;413201,99999999,0.396},3,1)</f>
        <v>0.39600000000000002</v>
      </c>
      <c r="J13" s="38">
        <f t="shared" si="0"/>
        <v>198000</v>
      </c>
      <c r="K13" s="24"/>
    </row>
    <row r="14" spans="1:11" x14ac:dyDescent="0.3">
      <c r="A14" s="24"/>
      <c r="B14" s="24">
        <v>411501</v>
      </c>
      <c r="C14" s="24">
        <v>413200</v>
      </c>
      <c r="D14" s="25">
        <v>0.35</v>
      </c>
    </row>
    <row r="15" spans="1:11" x14ac:dyDescent="0.3">
      <c r="A15" s="24"/>
      <c r="B15" s="24">
        <v>413201</v>
      </c>
      <c r="C15" s="24">
        <v>99999999</v>
      </c>
      <c r="D15" s="25">
        <v>0.39600000000000002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L40"/>
  <sheetViews>
    <sheetView workbookViewId="0">
      <selection activeCell="L4" sqref="L4"/>
    </sheetView>
  </sheetViews>
  <sheetFormatPr defaultColWidth="8.88671875" defaultRowHeight="14.4" x14ac:dyDescent="0.3"/>
  <cols>
    <col min="1" max="1" width="11.88671875" bestFit="1" customWidth="1"/>
    <col min="7" max="11" width="12.6640625" customWidth="1"/>
    <col min="12" max="12" width="14.109375" bestFit="1" customWidth="1"/>
  </cols>
  <sheetData>
    <row r="2" spans="1:12" x14ac:dyDescent="0.3">
      <c r="G2" s="3" t="s">
        <v>201</v>
      </c>
    </row>
    <row r="3" spans="1:12" ht="28.5" customHeight="1" x14ac:dyDescent="0.3">
      <c r="G3" s="39" t="s">
        <v>192</v>
      </c>
      <c r="H3" s="39" t="s">
        <v>193</v>
      </c>
      <c r="I3" s="39" t="s">
        <v>194</v>
      </c>
      <c r="J3" s="39" t="s">
        <v>195</v>
      </c>
      <c r="K3" s="39" t="s">
        <v>196</v>
      </c>
      <c r="L3" s="39" t="s">
        <v>197</v>
      </c>
    </row>
    <row r="4" spans="1:12" ht="28.5" customHeight="1" x14ac:dyDescent="0.3">
      <c r="G4" s="40">
        <f>COUNTA($A$7:$A$40)</f>
        <v>34</v>
      </c>
      <c r="H4" s="40">
        <f>COUNTIFS($A:$A,H3)</f>
        <v>8</v>
      </c>
      <c r="I4" s="40">
        <f t="shared" ref="I4:J4" si="0">COUNTIFS($A:$A,I3)</f>
        <v>7</v>
      </c>
      <c r="J4" s="40">
        <f t="shared" si="0"/>
        <v>10</v>
      </c>
      <c r="K4" s="40">
        <f>G4-SUM(H4:J4)</f>
        <v>9</v>
      </c>
      <c r="L4" s="40">
        <f>G4-H4</f>
        <v>26</v>
      </c>
    </row>
    <row r="6" spans="1:12" x14ac:dyDescent="0.3">
      <c r="A6" s="26" t="s">
        <v>198</v>
      </c>
    </row>
    <row r="7" spans="1:12" x14ac:dyDescent="0.3">
      <c r="A7" t="s">
        <v>193</v>
      </c>
    </row>
    <row r="8" spans="1:12" x14ac:dyDescent="0.3">
      <c r="A8" t="s">
        <v>193</v>
      </c>
    </row>
    <row r="9" spans="1:12" x14ac:dyDescent="0.3">
      <c r="A9" t="s">
        <v>193</v>
      </c>
    </row>
    <row r="10" spans="1:12" x14ac:dyDescent="0.3">
      <c r="A10" t="s">
        <v>193</v>
      </c>
    </row>
    <row r="11" spans="1:12" x14ac:dyDescent="0.3">
      <c r="A11" t="s">
        <v>193</v>
      </c>
    </row>
    <row r="12" spans="1:12" x14ac:dyDescent="0.3">
      <c r="A12" t="s">
        <v>193</v>
      </c>
    </row>
    <row r="13" spans="1:12" x14ac:dyDescent="0.3">
      <c r="A13" t="s">
        <v>193</v>
      </c>
    </row>
    <row r="14" spans="1:12" x14ac:dyDescent="0.3">
      <c r="A14" t="s">
        <v>193</v>
      </c>
    </row>
    <row r="15" spans="1:12" x14ac:dyDescent="0.3">
      <c r="A15" t="s">
        <v>194</v>
      </c>
    </row>
    <row r="16" spans="1:12" x14ac:dyDescent="0.3">
      <c r="A16" t="s">
        <v>194</v>
      </c>
    </row>
    <row r="17" spans="1:1" x14ac:dyDescent="0.3">
      <c r="A17" t="s">
        <v>194</v>
      </c>
    </row>
    <row r="18" spans="1:1" x14ac:dyDescent="0.3">
      <c r="A18" t="s">
        <v>194</v>
      </c>
    </row>
    <row r="19" spans="1:1" x14ac:dyDescent="0.3">
      <c r="A19" t="s">
        <v>194</v>
      </c>
    </row>
    <row r="20" spans="1:1" x14ac:dyDescent="0.3">
      <c r="A20" t="s">
        <v>194</v>
      </c>
    </row>
    <row r="21" spans="1:1" x14ac:dyDescent="0.3">
      <c r="A21" t="s">
        <v>194</v>
      </c>
    </row>
    <row r="22" spans="1:1" x14ac:dyDescent="0.3">
      <c r="A22" t="s">
        <v>195</v>
      </c>
    </row>
    <row r="23" spans="1:1" x14ac:dyDescent="0.3">
      <c r="A23" t="s">
        <v>195</v>
      </c>
    </row>
    <row r="24" spans="1:1" x14ac:dyDescent="0.3">
      <c r="A24" t="s">
        <v>195</v>
      </c>
    </row>
    <row r="25" spans="1:1" x14ac:dyDescent="0.3">
      <c r="A25" t="s">
        <v>195</v>
      </c>
    </row>
    <row r="26" spans="1:1" x14ac:dyDescent="0.3">
      <c r="A26" t="s">
        <v>195</v>
      </c>
    </row>
    <row r="27" spans="1:1" x14ac:dyDescent="0.3">
      <c r="A27" t="s">
        <v>195</v>
      </c>
    </row>
    <row r="28" spans="1:1" x14ac:dyDescent="0.3">
      <c r="A28" t="s">
        <v>195</v>
      </c>
    </row>
    <row r="29" spans="1:1" x14ac:dyDescent="0.3">
      <c r="A29" t="s">
        <v>195</v>
      </c>
    </row>
    <row r="30" spans="1:1" x14ac:dyDescent="0.3">
      <c r="A30" t="s">
        <v>195</v>
      </c>
    </row>
    <row r="31" spans="1:1" x14ac:dyDescent="0.3">
      <c r="A31" t="s">
        <v>195</v>
      </c>
    </row>
    <row r="32" spans="1:1" x14ac:dyDescent="0.3">
      <c r="A32" t="s">
        <v>199</v>
      </c>
    </row>
    <row r="33" spans="1:1" x14ac:dyDescent="0.3">
      <c r="A33" t="s">
        <v>199</v>
      </c>
    </row>
    <row r="34" spans="1:1" x14ac:dyDescent="0.3">
      <c r="A34" t="s">
        <v>199</v>
      </c>
    </row>
    <row r="35" spans="1:1" x14ac:dyDescent="0.3">
      <c r="A35" t="s">
        <v>200</v>
      </c>
    </row>
    <row r="36" spans="1:1" x14ac:dyDescent="0.3">
      <c r="A36" t="s">
        <v>200</v>
      </c>
    </row>
    <row r="37" spans="1:1" x14ac:dyDescent="0.3">
      <c r="A37" t="s">
        <v>200</v>
      </c>
    </row>
    <row r="38" spans="1:1" x14ac:dyDescent="0.3">
      <c r="A38" t="s">
        <v>200</v>
      </c>
    </row>
    <row r="39" spans="1:1" x14ac:dyDescent="0.3">
      <c r="A39" t="s">
        <v>200</v>
      </c>
    </row>
    <row r="40" spans="1:1" x14ac:dyDescent="0.3">
      <c r="A40" t="s">
        <v>200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6:L33"/>
  <sheetViews>
    <sheetView topLeftCell="A3" workbookViewId="0"/>
  </sheetViews>
  <sheetFormatPr defaultColWidth="8.88671875" defaultRowHeight="14.4" x14ac:dyDescent="0.3"/>
  <cols>
    <col min="1" max="1" width="18.44140625" bestFit="1" customWidth="1"/>
    <col min="4" max="5" width="11.44140625" bestFit="1" customWidth="1"/>
    <col min="6" max="6" width="12.44140625" bestFit="1" customWidth="1"/>
    <col min="7" max="7" width="2.33203125" customWidth="1"/>
    <col min="8" max="8" width="18.44140625" bestFit="1" customWidth="1"/>
    <col min="9" max="9" width="15.109375" customWidth="1"/>
    <col min="10" max="10" width="16.44140625" customWidth="1"/>
    <col min="11" max="11" width="25.33203125" customWidth="1"/>
    <col min="12" max="12" width="20.44140625" customWidth="1"/>
  </cols>
  <sheetData>
    <row r="6" spans="1:12" ht="28.8" x14ac:dyDescent="0.3">
      <c r="H6" s="27" t="s">
        <v>202</v>
      </c>
      <c r="I6" s="28" t="s">
        <v>203</v>
      </c>
      <c r="J6" s="28" t="s">
        <v>204</v>
      </c>
      <c r="K6" s="28" t="s">
        <v>205</v>
      </c>
      <c r="L6" s="28" t="s">
        <v>206</v>
      </c>
    </row>
    <row r="7" spans="1:12" x14ac:dyDescent="0.3">
      <c r="H7" t="s">
        <v>207</v>
      </c>
      <c r="I7" s="41">
        <f>SUMIFS(C:C,A:A,H7)*SUMIFS(F:F,A:A,H7)</f>
        <v>441600</v>
      </c>
      <c r="J7" s="43">
        <f>I7/SUM(I7:I14)</f>
        <v>0.12075920788960158</v>
      </c>
      <c r="K7" s="41">
        <f>COUNTIFS(A:A,H7)</f>
        <v>4</v>
      </c>
      <c r="L7" s="41">
        <f>I7/K7</f>
        <v>110400</v>
      </c>
    </row>
    <row r="8" spans="1:12" x14ac:dyDescent="0.3">
      <c r="H8" t="s">
        <v>208</v>
      </c>
      <c r="I8" s="41">
        <f t="shared" ref="I8:I14" si="0">SUMIFS(C:C,A:A,H8)*SUMIFS(F:F,A:A,H8)</f>
        <v>369000</v>
      </c>
      <c r="J8" s="43">
        <f t="shared" ref="J8:J14" si="1">I8/SUM(I8:I15)</f>
        <v>0.11476507061317516</v>
      </c>
      <c r="K8" s="41">
        <f t="shared" ref="K8:K14" si="2">COUNTIFS(A:A,H8)</f>
        <v>3</v>
      </c>
      <c r="L8" s="41">
        <f t="shared" ref="L8:L14" si="3">I8/K8</f>
        <v>123000</v>
      </c>
    </row>
    <row r="9" spans="1:12" x14ac:dyDescent="0.3">
      <c r="H9" t="s">
        <v>209</v>
      </c>
      <c r="I9" s="41">
        <f t="shared" si="0"/>
        <v>240000</v>
      </c>
      <c r="J9" s="43">
        <f t="shared" si="1"/>
        <v>8.4321060871373837E-2</v>
      </c>
      <c r="K9" s="41">
        <f t="shared" si="2"/>
        <v>2</v>
      </c>
      <c r="L9" s="41">
        <f t="shared" si="3"/>
        <v>120000</v>
      </c>
    </row>
    <row r="10" spans="1:12" x14ac:dyDescent="0.3">
      <c r="A10" s="3" t="s">
        <v>202</v>
      </c>
      <c r="B10" s="3" t="s">
        <v>210</v>
      </c>
      <c r="C10" s="3" t="s">
        <v>211</v>
      </c>
      <c r="D10" s="3" t="s">
        <v>212</v>
      </c>
      <c r="E10" s="3" t="s">
        <v>213</v>
      </c>
      <c r="F10" s="3" t="s">
        <v>214</v>
      </c>
      <c r="H10" t="s">
        <v>215</v>
      </c>
      <c r="I10" s="41">
        <f t="shared" si="0"/>
        <v>99000</v>
      </c>
      <c r="J10" s="43">
        <f t="shared" si="1"/>
        <v>3.7985407464477886E-2</v>
      </c>
      <c r="K10" s="41">
        <f t="shared" si="2"/>
        <v>2</v>
      </c>
      <c r="L10" s="41">
        <f t="shared" si="3"/>
        <v>49500</v>
      </c>
    </row>
    <row r="11" spans="1:12" x14ac:dyDescent="0.3">
      <c r="A11" t="s">
        <v>207</v>
      </c>
      <c r="B11" t="s">
        <v>216</v>
      </c>
      <c r="C11">
        <v>1000</v>
      </c>
      <c r="D11" s="11">
        <v>24</v>
      </c>
      <c r="E11" s="11">
        <v>23</v>
      </c>
      <c r="F11" s="11">
        <v>20</v>
      </c>
      <c r="H11" t="s">
        <v>217</v>
      </c>
      <c r="I11" s="41">
        <f t="shared" si="0"/>
        <v>617100</v>
      </c>
      <c r="J11" s="43">
        <f t="shared" si="1"/>
        <v>0.24612485960792321</v>
      </c>
      <c r="K11" s="41">
        <f t="shared" si="2"/>
        <v>3</v>
      </c>
      <c r="L11" s="41">
        <f t="shared" si="3"/>
        <v>205700</v>
      </c>
    </row>
    <row r="12" spans="1:12" x14ac:dyDescent="0.3">
      <c r="A12" t="s">
        <v>208</v>
      </c>
      <c r="B12" t="s">
        <v>218</v>
      </c>
      <c r="C12">
        <v>1200</v>
      </c>
      <c r="D12" s="11">
        <v>28</v>
      </c>
      <c r="E12" s="11">
        <v>28</v>
      </c>
      <c r="F12" s="11">
        <v>20</v>
      </c>
      <c r="H12" t="s">
        <v>219</v>
      </c>
      <c r="I12" s="41">
        <f t="shared" si="0"/>
        <v>189000</v>
      </c>
      <c r="J12" s="43">
        <f t="shared" si="1"/>
        <v>9.9991323504203866E-2</v>
      </c>
      <c r="K12" s="41">
        <f t="shared" si="2"/>
        <v>3</v>
      </c>
      <c r="L12" s="41">
        <f t="shared" si="3"/>
        <v>63000</v>
      </c>
    </row>
    <row r="13" spans="1:12" x14ac:dyDescent="0.3">
      <c r="A13" t="s">
        <v>209</v>
      </c>
      <c r="B13" t="s">
        <v>220</v>
      </c>
      <c r="C13">
        <v>4000</v>
      </c>
      <c r="D13" s="11">
        <v>27</v>
      </c>
      <c r="E13" s="11">
        <v>20</v>
      </c>
      <c r="F13" s="11">
        <v>24</v>
      </c>
      <c r="H13" t="s">
        <v>221</v>
      </c>
      <c r="I13" s="41">
        <f t="shared" si="0"/>
        <v>1616500</v>
      </c>
      <c r="J13" s="43">
        <f t="shared" si="1"/>
        <v>0.95023172369036735</v>
      </c>
      <c r="K13" s="41">
        <f t="shared" si="2"/>
        <v>3</v>
      </c>
      <c r="L13" s="41">
        <f t="shared" si="3"/>
        <v>538833.33333333337</v>
      </c>
    </row>
    <row r="14" spans="1:12" x14ac:dyDescent="0.3">
      <c r="A14" t="s">
        <v>209</v>
      </c>
      <c r="B14" t="s">
        <v>222</v>
      </c>
      <c r="C14">
        <v>1000</v>
      </c>
      <c r="D14" s="11">
        <v>27</v>
      </c>
      <c r="E14" s="11">
        <v>24</v>
      </c>
      <c r="F14" s="11">
        <v>24</v>
      </c>
      <c r="H14" s="12" t="s">
        <v>223</v>
      </c>
      <c r="I14" s="41">
        <f t="shared" si="0"/>
        <v>84664</v>
      </c>
      <c r="J14" s="43">
        <f t="shared" si="1"/>
        <v>1</v>
      </c>
      <c r="K14" s="41">
        <f t="shared" si="2"/>
        <v>3</v>
      </c>
      <c r="L14" s="41">
        <f t="shared" si="3"/>
        <v>28221.333333333332</v>
      </c>
    </row>
    <row r="15" spans="1:12" x14ac:dyDescent="0.3">
      <c r="A15" t="s">
        <v>207</v>
      </c>
      <c r="B15" t="s">
        <v>224</v>
      </c>
      <c r="C15">
        <v>1000</v>
      </c>
      <c r="D15" s="11">
        <v>27</v>
      </c>
      <c r="E15" s="11">
        <v>24</v>
      </c>
      <c r="F15" s="11">
        <v>24</v>
      </c>
    </row>
    <row r="16" spans="1:12" x14ac:dyDescent="0.3">
      <c r="A16" t="s">
        <v>215</v>
      </c>
      <c r="B16" t="s">
        <v>225</v>
      </c>
      <c r="C16">
        <v>1200</v>
      </c>
      <c r="D16" s="11">
        <v>28</v>
      </c>
      <c r="E16" s="11">
        <v>27</v>
      </c>
      <c r="F16" s="11">
        <v>21</v>
      </c>
    </row>
    <row r="17" spans="1:6" x14ac:dyDescent="0.3">
      <c r="A17" t="s">
        <v>215</v>
      </c>
      <c r="B17" t="s">
        <v>226</v>
      </c>
      <c r="C17">
        <v>1000</v>
      </c>
      <c r="D17" s="11">
        <v>25</v>
      </c>
      <c r="E17" s="11">
        <v>22</v>
      </c>
      <c r="F17" s="11">
        <v>24</v>
      </c>
    </row>
    <row r="18" spans="1:6" x14ac:dyDescent="0.3">
      <c r="A18" t="s">
        <v>217</v>
      </c>
      <c r="B18" t="s">
        <v>227</v>
      </c>
      <c r="C18">
        <v>3000</v>
      </c>
      <c r="D18" s="11">
        <v>26</v>
      </c>
      <c r="E18" s="11">
        <v>27</v>
      </c>
      <c r="F18" s="11">
        <v>29</v>
      </c>
    </row>
    <row r="19" spans="1:6" x14ac:dyDescent="0.3">
      <c r="A19" t="s">
        <v>217</v>
      </c>
      <c r="B19" t="s">
        <v>228</v>
      </c>
      <c r="C19">
        <v>2000</v>
      </c>
      <c r="D19" s="11">
        <v>21</v>
      </c>
      <c r="E19" s="11">
        <v>27</v>
      </c>
      <c r="F19" s="11">
        <v>30</v>
      </c>
    </row>
    <row r="20" spans="1:6" x14ac:dyDescent="0.3">
      <c r="A20" t="s">
        <v>217</v>
      </c>
      <c r="B20" t="s">
        <v>229</v>
      </c>
      <c r="C20">
        <v>100</v>
      </c>
      <c r="D20" s="11">
        <v>56</v>
      </c>
      <c r="E20" s="11">
        <v>60</v>
      </c>
      <c r="F20" s="11">
        <v>62</v>
      </c>
    </row>
    <row r="21" spans="1:6" x14ac:dyDescent="0.3">
      <c r="A21" t="s">
        <v>219</v>
      </c>
      <c r="B21" t="s">
        <v>230</v>
      </c>
      <c r="C21">
        <v>200</v>
      </c>
      <c r="D21" s="11">
        <v>51</v>
      </c>
      <c r="E21" s="11">
        <v>69</v>
      </c>
      <c r="F21" s="11">
        <v>71</v>
      </c>
    </row>
    <row r="22" spans="1:6" x14ac:dyDescent="0.3">
      <c r="A22" t="s">
        <v>219</v>
      </c>
      <c r="B22" t="s">
        <v>231</v>
      </c>
      <c r="C22">
        <v>150</v>
      </c>
      <c r="D22" s="11">
        <v>65</v>
      </c>
      <c r="E22" s="11">
        <v>51</v>
      </c>
      <c r="F22" s="11">
        <v>64</v>
      </c>
    </row>
    <row r="23" spans="1:6" x14ac:dyDescent="0.3">
      <c r="A23" t="s">
        <v>207</v>
      </c>
      <c r="B23" t="s">
        <v>232</v>
      </c>
      <c r="C23">
        <v>100</v>
      </c>
      <c r="D23" s="11">
        <v>70</v>
      </c>
      <c r="E23" s="11">
        <v>66</v>
      </c>
      <c r="F23" s="11">
        <v>75</v>
      </c>
    </row>
    <row r="24" spans="1:6" x14ac:dyDescent="0.3">
      <c r="A24" t="s">
        <v>208</v>
      </c>
      <c r="B24" t="s">
        <v>233</v>
      </c>
      <c r="C24">
        <v>5000</v>
      </c>
      <c r="D24" s="11">
        <v>25</v>
      </c>
      <c r="E24" s="11">
        <v>21</v>
      </c>
      <c r="F24" s="11">
        <v>15</v>
      </c>
    </row>
    <row r="25" spans="1:6" x14ac:dyDescent="0.3">
      <c r="A25" t="s">
        <v>221</v>
      </c>
      <c r="B25" t="s">
        <v>234</v>
      </c>
      <c r="C25">
        <v>10000</v>
      </c>
      <c r="D25" s="11">
        <v>24</v>
      </c>
      <c r="E25" s="11">
        <v>21</v>
      </c>
      <c r="F25" s="11">
        <v>19</v>
      </c>
    </row>
    <row r="26" spans="1:6" x14ac:dyDescent="0.3">
      <c r="A26" t="s">
        <v>221</v>
      </c>
      <c r="B26" t="s">
        <v>235</v>
      </c>
      <c r="C26">
        <v>9000</v>
      </c>
      <c r="D26" s="11">
        <v>20</v>
      </c>
      <c r="E26" s="11">
        <v>19</v>
      </c>
      <c r="F26" s="11">
        <v>18</v>
      </c>
    </row>
    <row r="27" spans="1:6" x14ac:dyDescent="0.3">
      <c r="A27" t="s">
        <v>221</v>
      </c>
      <c r="B27" t="s">
        <v>236</v>
      </c>
      <c r="C27">
        <v>7500</v>
      </c>
      <c r="D27" s="11">
        <v>21</v>
      </c>
      <c r="E27" s="11">
        <v>18</v>
      </c>
      <c r="F27" s="11">
        <v>24</v>
      </c>
    </row>
    <row r="28" spans="1:6" x14ac:dyDescent="0.3">
      <c r="A28" t="s">
        <v>219</v>
      </c>
      <c r="B28" t="s">
        <v>237</v>
      </c>
      <c r="C28">
        <v>1000</v>
      </c>
      <c r="D28" s="11">
        <v>6</v>
      </c>
      <c r="E28" s="11">
        <v>6</v>
      </c>
      <c r="F28" s="11">
        <v>5</v>
      </c>
    </row>
    <row r="29" spans="1:6" x14ac:dyDescent="0.3">
      <c r="A29" t="s">
        <v>207</v>
      </c>
      <c r="B29" t="s">
        <v>238</v>
      </c>
      <c r="C29">
        <v>1350</v>
      </c>
      <c r="D29" s="11">
        <v>5</v>
      </c>
      <c r="E29" s="11">
        <v>8</v>
      </c>
      <c r="F29" s="11">
        <v>9</v>
      </c>
    </row>
    <row r="30" spans="1:6" x14ac:dyDescent="0.3">
      <c r="A30" t="s">
        <v>223</v>
      </c>
      <c r="B30" t="s">
        <v>239</v>
      </c>
      <c r="C30">
        <v>1356</v>
      </c>
      <c r="D30" s="11">
        <v>5</v>
      </c>
      <c r="E30" s="11">
        <v>10</v>
      </c>
      <c r="F30" s="11">
        <v>6</v>
      </c>
    </row>
    <row r="31" spans="1:6" x14ac:dyDescent="0.3">
      <c r="A31" t="s">
        <v>223</v>
      </c>
      <c r="B31" t="s">
        <v>240</v>
      </c>
      <c r="C31">
        <v>1500</v>
      </c>
      <c r="D31" s="11">
        <v>8</v>
      </c>
      <c r="E31" s="11">
        <v>8</v>
      </c>
      <c r="F31" s="11">
        <v>6</v>
      </c>
    </row>
    <row r="32" spans="1:6" x14ac:dyDescent="0.3">
      <c r="A32" t="s">
        <v>223</v>
      </c>
      <c r="B32" t="s">
        <v>241</v>
      </c>
      <c r="C32">
        <v>1600</v>
      </c>
      <c r="D32" s="11">
        <v>9</v>
      </c>
      <c r="E32" s="11">
        <v>9</v>
      </c>
      <c r="F32" s="11">
        <v>7</v>
      </c>
    </row>
    <row r="33" spans="1:6" x14ac:dyDescent="0.3">
      <c r="A33" t="s">
        <v>208</v>
      </c>
      <c r="B33" t="s">
        <v>242</v>
      </c>
      <c r="C33">
        <v>2000</v>
      </c>
      <c r="D33" s="11">
        <v>6</v>
      </c>
      <c r="E33" s="11">
        <v>9</v>
      </c>
      <c r="F33" s="11">
        <v>10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6:L32"/>
  <sheetViews>
    <sheetView topLeftCell="A8" workbookViewId="0">
      <selection activeCell="J15" sqref="J15"/>
    </sheetView>
  </sheetViews>
  <sheetFormatPr defaultColWidth="8.88671875" defaultRowHeight="14.4" x14ac:dyDescent="0.3"/>
  <cols>
    <col min="5" max="5" width="9.88671875" bestFit="1" customWidth="1"/>
    <col min="9" max="11" width="13.109375" customWidth="1"/>
    <col min="12" max="12" width="14.6640625" customWidth="1"/>
  </cols>
  <sheetData>
    <row r="6" spans="1:10" x14ac:dyDescent="0.3">
      <c r="A6" s="3" t="s">
        <v>243</v>
      </c>
    </row>
    <row r="8" spans="1:10" x14ac:dyDescent="0.3">
      <c r="A8" s="3" t="s">
        <v>244</v>
      </c>
      <c r="B8" s="3" t="s">
        <v>245</v>
      </c>
      <c r="C8" s="3" t="s">
        <v>246</v>
      </c>
      <c r="D8" s="3" t="s">
        <v>247</v>
      </c>
      <c r="E8" s="4" t="s">
        <v>169</v>
      </c>
      <c r="I8" t="s">
        <v>248</v>
      </c>
    </row>
    <row r="9" spans="1:10" x14ac:dyDescent="0.3">
      <c r="A9" s="29">
        <v>500001</v>
      </c>
      <c r="B9" t="s">
        <v>249</v>
      </c>
      <c r="C9" t="s">
        <v>250</v>
      </c>
      <c r="D9" t="s">
        <v>251</v>
      </c>
      <c r="E9" s="24">
        <v>1000</v>
      </c>
      <c r="I9" s="2" t="s">
        <v>351</v>
      </c>
      <c r="J9">
        <f>COUNTIFS(B:B,B9,C:C,C9)</f>
        <v>3</v>
      </c>
    </row>
    <row r="10" spans="1:10" x14ac:dyDescent="0.3">
      <c r="A10" s="29">
        <f>A9+1</f>
        <v>500002</v>
      </c>
      <c r="B10" t="s">
        <v>249</v>
      </c>
      <c r="C10" t="s">
        <v>250</v>
      </c>
      <c r="D10" t="s">
        <v>252</v>
      </c>
      <c r="E10" s="24">
        <v>3000</v>
      </c>
      <c r="I10" t="s">
        <v>253</v>
      </c>
    </row>
    <row r="11" spans="1:10" x14ac:dyDescent="0.3">
      <c r="A11" s="29">
        <f t="shared" ref="A11:A32" si="0">A10+1</f>
        <v>500003</v>
      </c>
      <c r="B11" t="s">
        <v>249</v>
      </c>
      <c r="C11" t="s">
        <v>250</v>
      </c>
      <c r="D11" t="s">
        <v>252</v>
      </c>
      <c r="E11" s="24">
        <v>3000</v>
      </c>
      <c r="I11" s="2" t="s">
        <v>351</v>
      </c>
      <c r="J11">
        <f>COUNTIFS(B:B,B17,C:C,C12,D:D,D9)</f>
        <v>3</v>
      </c>
    </row>
    <row r="12" spans="1:10" x14ac:dyDescent="0.3">
      <c r="A12" s="29">
        <f t="shared" si="0"/>
        <v>500004</v>
      </c>
      <c r="B12" t="s">
        <v>249</v>
      </c>
      <c r="C12" t="s">
        <v>254</v>
      </c>
      <c r="D12" t="s">
        <v>251</v>
      </c>
      <c r="E12" s="24">
        <v>100</v>
      </c>
      <c r="I12" t="s">
        <v>255</v>
      </c>
    </row>
    <row r="13" spans="1:10" x14ac:dyDescent="0.3">
      <c r="A13" s="29">
        <f t="shared" si="0"/>
        <v>500005</v>
      </c>
      <c r="B13" t="s">
        <v>249</v>
      </c>
      <c r="C13" t="s">
        <v>254</v>
      </c>
      <c r="D13" t="s">
        <v>251</v>
      </c>
      <c r="E13" s="24">
        <v>100</v>
      </c>
      <c r="I13" s="2" t="s">
        <v>352</v>
      </c>
      <c r="J13">
        <f>SUMIFS($E:$E,D:D,D19,C:C,C11)</f>
        <v>12000</v>
      </c>
    </row>
    <row r="14" spans="1:10" x14ac:dyDescent="0.3">
      <c r="A14" s="29">
        <f t="shared" si="0"/>
        <v>500006</v>
      </c>
      <c r="B14" t="s">
        <v>249</v>
      </c>
      <c r="C14" t="s">
        <v>254</v>
      </c>
      <c r="D14" t="s">
        <v>251</v>
      </c>
      <c r="E14" s="24">
        <v>100</v>
      </c>
      <c r="I14" t="s">
        <v>256</v>
      </c>
    </row>
    <row r="15" spans="1:10" x14ac:dyDescent="0.3">
      <c r="A15" s="29">
        <f t="shared" si="0"/>
        <v>500007</v>
      </c>
      <c r="B15" t="s">
        <v>249</v>
      </c>
      <c r="C15" t="s">
        <v>254</v>
      </c>
      <c r="D15" t="s">
        <v>257</v>
      </c>
      <c r="E15" s="24">
        <v>200</v>
      </c>
      <c r="I15" s="2" t="s">
        <v>352</v>
      </c>
    </row>
    <row r="16" spans="1:10" x14ac:dyDescent="0.3">
      <c r="A16" s="29">
        <f t="shared" si="0"/>
        <v>500008</v>
      </c>
      <c r="B16" t="s">
        <v>258</v>
      </c>
      <c r="C16" t="s">
        <v>250</v>
      </c>
      <c r="D16" t="s">
        <v>257</v>
      </c>
      <c r="E16" s="24">
        <v>2000</v>
      </c>
      <c r="I16" t="s">
        <v>259</v>
      </c>
    </row>
    <row r="17" spans="1:12" x14ac:dyDescent="0.3">
      <c r="A17" s="29">
        <f t="shared" si="0"/>
        <v>500009</v>
      </c>
      <c r="B17" t="s">
        <v>258</v>
      </c>
      <c r="C17" t="s">
        <v>250</v>
      </c>
      <c r="D17" t="s">
        <v>251</v>
      </c>
      <c r="E17" s="24">
        <v>1000</v>
      </c>
      <c r="I17" s="2" t="s">
        <v>353</v>
      </c>
    </row>
    <row r="18" spans="1:12" x14ac:dyDescent="0.3">
      <c r="A18" s="29">
        <f t="shared" si="0"/>
        <v>500010</v>
      </c>
      <c r="B18" t="s">
        <v>258</v>
      </c>
      <c r="C18" t="s">
        <v>250</v>
      </c>
      <c r="D18" t="s">
        <v>251</v>
      </c>
      <c r="E18" s="24">
        <v>1000</v>
      </c>
    </row>
    <row r="19" spans="1:12" x14ac:dyDescent="0.3">
      <c r="A19" s="29">
        <f t="shared" si="0"/>
        <v>500011</v>
      </c>
      <c r="B19" t="s">
        <v>258</v>
      </c>
      <c r="C19" t="s">
        <v>250</v>
      </c>
      <c r="D19" t="s">
        <v>252</v>
      </c>
      <c r="E19" s="24">
        <v>3000</v>
      </c>
      <c r="I19" s="9" t="s">
        <v>245</v>
      </c>
      <c r="J19" s="10" t="s">
        <v>201</v>
      </c>
      <c r="K19" s="10" t="s">
        <v>260</v>
      </c>
      <c r="L19" s="10" t="s">
        <v>261</v>
      </c>
    </row>
    <row r="20" spans="1:12" x14ac:dyDescent="0.3">
      <c r="A20" s="29">
        <f t="shared" si="0"/>
        <v>500012</v>
      </c>
      <c r="B20" t="s">
        <v>258</v>
      </c>
      <c r="C20" t="s">
        <v>254</v>
      </c>
      <c r="D20" t="s">
        <v>251</v>
      </c>
      <c r="E20" s="24">
        <v>100</v>
      </c>
      <c r="I20" t="s">
        <v>249</v>
      </c>
      <c r="J20" s="30"/>
      <c r="K20" s="30"/>
      <c r="L20" s="2"/>
    </row>
    <row r="21" spans="1:12" x14ac:dyDescent="0.3">
      <c r="A21" s="29">
        <f t="shared" si="0"/>
        <v>500013</v>
      </c>
      <c r="B21" t="s">
        <v>258</v>
      </c>
      <c r="C21" t="s">
        <v>254</v>
      </c>
      <c r="D21" t="s">
        <v>251</v>
      </c>
      <c r="E21" s="24">
        <v>100</v>
      </c>
      <c r="I21" t="s">
        <v>258</v>
      </c>
      <c r="J21" s="30"/>
      <c r="K21" s="30"/>
      <c r="L21" s="2"/>
    </row>
    <row r="22" spans="1:12" x14ac:dyDescent="0.3">
      <c r="A22" s="29">
        <f t="shared" si="0"/>
        <v>500014</v>
      </c>
      <c r="B22" t="s">
        <v>258</v>
      </c>
      <c r="C22" t="s">
        <v>254</v>
      </c>
      <c r="D22" t="s">
        <v>251</v>
      </c>
      <c r="E22" s="24">
        <v>100</v>
      </c>
      <c r="I22" s="12" t="s">
        <v>262</v>
      </c>
      <c r="J22" s="30"/>
      <c r="K22" s="30"/>
      <c r="L22" s="2"/>
    </row>
    <row r="23" spans="1:12" x14ac:dyDescent="0.3">
      <c r="A23" s="29">
        <f t="shared" si="0"/>
        <v>500015</v>
      </c>
      <c r="B23" t="s">
        <v>258</v>
      </c>
      <c r="C23" t="s">
        <v>254</v>
      </c>
      <c r="D23" t="s">
        <v>252</v>
      </c>
      <c r="E23" s="24">
        <v>300</v>
      </c>
      <c r="J23" s="31"/>
      <c r="K23" s="31"/>
    </row>
    <row r="24" spans="1:12" x14ac:dyDescent="0.3">
      <c r="A24" s="29">
        <f t="shared" si="0"/>
        <v>500016</v>
      </c>
      <c r="B24" t="s">
        <v>258</v>
      </c>
      <c r="C24" t="s">
        <v>263</v>
      </c>
      <c r="D24" t="s">
        <v>252</v>
      </c>
      <c r="E24" s="24">
        <v>500</v>
      </c>
    </row>
    <row r="25" spans="1:12" x14ac:dyDescent="0.3">
      <c r="A25" s="29">
        <f t="shared" si="0"/>
        <v>500017</v>
      </c>
      <c r="B25" t="s">
        <v>258</v>
      </c>
      <c r="C25" t="s">
        <v>263</v>
      </c>
      <c r="D25" t="s">
        <v>251</v>
      </c>
      <c r="E25" s="24">
        <v>350</v>
      </c>
      <c r="I25" s="9" t="s">
        <v>247</v>
      </c>
      <c r="J25" s="10" t="s">
        <v>201</v>
      </c>
      <c r="K25" s="10" t="s">
        <v>260</v>
      </c>
      <c r="L25" s="10" t="s">
        <v>261</v>
      </c>
    </row>
    <row r="26" spans="1:12" x14ac:dyDescent="0.3">
      <c r="A26" s="29">
        <f t="shared" si="0"/>
        <v>500018</v>
      </c>
      <c r="B26" t="s">
        <v>258</v>
      </c>
      <c r="C26" t="s">
        <v>263</v>
      </c>
      <c r="D26" t="s">
        <v>251</v>
      </c>
      <c r="E26" s="24">
        <v>350</v>
      </c>
      <c r="I26" t="s">
        <v>251</v>
      </c>
      <c r="J26" s="30"/>
      <c r="K26" s="30"/>
      <c r="L26" s="2"/>
    </row>
    <row r="27" spans="1:12" x14ac:dyDescent="0.3">
      <c r="A27" s="29">
        <f t="shared" si="0"/>
        <v>500019</v>
      </c>
      <c r="B27" t="s">
        <v>262</v>
      </c>
      <c r="C27" t="s">
        <v>250</v>
      </c>
      <c r="D27" t="s">
        <v>252</v>
      </c>
      <c r="E27" s="24">
        <v>3000</v>
      </c>
      <c r="I27" t="s">
        <v>257</v>
      </c>
      <c r="J27" s="30"/>
      <c r="K27" s="30"/>
      <c r="L27" s="2"/>
    </row>
    <row r="28" spans="1:12" x14ac:dyDescent="0.3">
      <c r="A28" s="29">
        <f t="shared" si="0"/>
        <v>500020</v>
      </c>
      <c r="B28" t="s">
        <v>262</v>
      </c>
      <c r="C28" t="s">
        <v>250</v>
      </c>
      <c r="D28" t="s">
        <v>251</v>
      </c>
      <c r="E28" s="24">
        <v>1000</v>
      </c>
      <c r="I28" s="12" t="s">
        <v>252</v>
      </c>
      <c r="J28" s="30"/>
      <c r="K28" s="30"/>
      <c r="L28" s="2"/>
    </row>
    <row r="29" spans="1:12" x14ac:dyDescent="0.3">
      <c r="A29" s="29">
        <f t="shared" si="0"/>
        <v>500021</v>
      </c>
      <c r="B29" t="s">
        <v>262</v>
      </c>
      <c r="C29" t="s">
        <v>250</v>
      </c>
      <c r="D29" t="s">
        <v>251</v>
      </c>
      <c r="E29" s="24">
        <v>1000</v>
      </c>
    </row>
    <row r="30" spans="1:12" x14ac:dyDescent="0.3">
      <c r="A30" s="29">
        <f t="shared" si="0"/>
        <v>500022</v>
      </c>
      <c r="B30" t="s">
        <v>262</v>
      </c>
      <c r="C30" t="s">
        <v>264</v>
      </c>
      <c r="D30" t="s">
        <v>252</v>
      </c>
      <c r="E30" s="24">
        <v>1500</v>
      </c>
    </row>
    <row r="31" spans="1:12" x14ac:dyDescent="0.3">
      <c r="A31" s="29">
        <f t="shared" si="0"/>
        <v>500023</v>
      </c>
      <c r="B31" t="s">
        <v>262</v>
      </c>
      <c r="C31" t="s">
        <v>264</v>
      </c>
      <c r="D31" t="s">
        <v>251</v>
      </c>
      <c r="E31" s="24">
        <v>800</v>
      </c>
    </row>
    <row r="32" spans="1:12" x14ac:dyDescent="0.3">
      <c r="A32" s="29">
        <f t="shared" si="0"/>
        <v>500024</v>
      </c>
      <c r="B32" t="s">
        <v>262</v>
      </c>
      <c r="C32" t="s">
        <v>264</v>
      </c>
      <c r="D32" t="s">
        <v>252</v>
      </c>
      <c r="E32" s="24">
        <v>1500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6:K40"/>
  <sheetViews>
    <sheetView workbookViewId="0">
      <selection activeCell="K9" sqref="K9"/>
    </sheetView>
  </sheetViews>
  <sheetFormatPr defaultColWidth="8.88671875" defaultRowHeight="14.4" x14ac:dyDescent="0.3"/>
  <cols>
    <col min="1" max="1" width="10.109375" bestFit="1" customWidth="1"/>
    <col min="2" max="2" width="30.6640625" customWidth="1"/>
    <col min="6" max="6" width="12.6640625" customWidth="1"/>
    <col min="9" max="9" width="11.6640625" customWidth="1"/>
    <col min="10" max="10" width="20.33203125" customWidth="1"/>
    <col min="11" max="11" width="8.33203125" bestFit="1" customWidth="1"/>
  </cols>
  <sheetData>
    <row r="6" spans="1:11" x14ac:dyDescent="0.3">
      <c r="A6" t="s">
        <v>354</v>
      </c>
    </row>
    <row r="7" spans="1:11" x14ac:dyDescent="0.3">
      <c r="A7" s="3" t="s">
        <v>265</v>
      </c>
      <c r="B7" s="3" t="s">
        <v>266</v>
      </c>
      <c r="C7" s="3" t="s">
        <v>267</v>
      </c>
      <c r="D7" s="3" t="s">
        <v>169</v>
      </c>
      <c r="E7" s="3" t="s">
        <v>268</v>
      </c>
      <c r="F7" s="3" t="s">
        <v>179</v>
      </c>
      <c r="I7" s="32" t="s">
        <v>265</v>
      </c>
      <c r="J7" s="3" t="s">
        <v>266</v>
      </c>
      <c r="K7" s="3" t="s">
        <v>169</v>
      </c>
    </row>
    <row r="8" spans="1:11" x14ac:dyDescent="0.3">
      <c r="A8">
        <v>14122</v>
      </c>
      <c r="B8" s="2"/>
      <c r="C8" t="s">
        <v>269</v>
      </c>
      <c r="D8" s="2"/>
      <c r="E8">
        <v>734</v>
      </c>
      <c r="F8" s="2"/>
      <c r="I8" s="33" t="s">
        <v>270</v>
      </c>
      <c r="J8" t="s">
        <v>271</v>
      </c>
      <c r="K8" s="11">
        <v>90</v>
      </c>
    </row>
    <row r="9" spans="1:11" x14ac:dyDescent="0.3">
      <c r="A9">
        <v>14122</v>
      </c>
      <c r="B9" s="2"/>
      <c r="C9" t="s">
        <v>269</v>
      </c>
      <c r="D9" s="2"/>
      <c r="E9">
        <v>120</v>
      </c>
      <c r="F9" s="2"/>
      <c r="I9" s="33" t="s">
        <v>272</v>
      </c>
      <c r="J9" t="s">
        <v>273</v>
      </c>
      <c r="K9" s="11">
        <v>110</v>
      </c>
    </row>
    <row r="10" spans="1:11" x14ac:dyDescent="0.3">
      <c r="A10">
        <v>14122</v>
      </c>
      <c r="B10" s="2"/>
      <c r="C10" t="s">
        <v>70</v>
      </c>
      <c r="D10" s="2"/>
      <c r="E10">
        <v>100</v>
      </c>
      <c r="F10" s="2"/>
      <c r="I10" s="33" t="s">
        <v>274</v>
      </c>
      <c r="J10" t="s">
        <v>275</v>
      </c>
      <c r="K10" s="11">
        <v>100</v>
      </c>
    </row>
    <row r="11" spans="1:11" x14ac:dyDescent="0.3">
      <c r="A11">
        <v>14122</v>
      </c>
      <c r="B11" s="2"/>
      <c r="C11" t="s">
        <v>70</v>
      </c>
      <c r="D11" s="2"/>
      <c r="E11">
        <v>712</v>
      </c>
      <c r="F11" s="2"/>
      <c r="I11" s="33" t="s">
        <v>276</v>
      </c>
      <c r="J11" t="s">
        <v>277</v>
      </c>
      <c r="K11" s="11">
        <v>120</v>
      </c>
    </row>
    <row r="12" spans="1:11" x14ac:dyDescent="0.3">
      <c r="A12">
        <v>14122</v>
      </c>
      <c r="B12" s="2"/>
      <c r="C12" t="s">
        <v>278</v>
      </c>
      <c r="D12" s="2"/>
      <c r="E12">
        <v>380</v>
      </c>
      <c r="F12" s="2"/>
    </row>
    <row r="13" spans="1:11" x14ac:dyDescent="0.3">
      <c r="A13">
        <v>14122</v>
      </c>
      <c r="B13" s="2"/>
      <c r="C13" t="s">
        <v>278</v>
      </c>
      <c r="D13" s="2"/>
      <c r="E13">
        <v>242</v>
      </c>
      <c r="F13" s="2"/>
    </row>
    <row r="14" spans="1:11" x14ac:dyDescent="0.3">
      <c r="A14">
        <v>14122</v>
      </c>
      <c r="B14" s="2"/>
      <c r="C14" t="s">
        <v>278</v>
      </c>
      <c r="D14" s="2"/>
      <c r="E14">
        <v>355</v>
      </c>
      <c r="F14" s="2"/>
      <c r="I14" s="32" t="s">
        <v>279</v>
      </c>
      <c r="J14" s="3" t="s">
        <v>179</v>
      </c>
    </row>
    <row r="15" spans="1:11" x14ac:dyDescent="0.3">
      <c r="A15">
        <v>14122</v>
      </c>
      <c r="B15" s="2"/>
      <c r="C15" t="s">
        <v>278</v>
      </c>
      <c r="D15" s="2"/>
      <c r="E15">
        <v>773</v>
      </c>
      <c r="F15" s="2"/>
      <c r="I15" s="33" t="s">
        <v>280</v>
      </c>
      <c r="J15" t="s">
        <v>281</v>
      </c>
    </row>
    <row r="16" spans="1:11" x14ac:dyDescent="0.3">
      <c r="A16">
        <v>14122</v>
      </c>
      <c r="B16" s="2"/>
      <c r="C16" t="s">
        <v>278</v>
      </c>
      <c r="D16" s="2"/>
      <c r="E16">
        <v>69</v>
      </c>
      <c r="F16" s="2"/>
      <c r="I16" s="33" t="s">
        <v>282</v>
      </c>
      <c r="J16" t="s">
        <v>283</v>
      </c>
    </row>
    <row r="17" spans="1:10" x14ac:dyDescent="0.3">
      <c r="A17">
        <v>14123</v>
      </c>
      <c r="B17" s="2"/>
      <c r="C17" t="s">
        <v>278</v>
      </c>
      <c r="D17" s="2"/>
      <c r="E17">
        <v>361</v>
      </c>
      <c r="F17" s="2"/>
      <c r="I17" s="33" t="s">
        <v>284</v>
      </c>
      <c r="J17" t="s">
        <v>285</v>
      </c>
    </row>
    <row r="18" spans="1:10" x14ac:dyDescent="0.3">
      <c r="A18">
        <v>14123</v>
      </c>
      <c r="B18" s="2"/>
      <c r="C18" t="s">
        <v>286</v>
      </c>
      <c r="D18" s="2"/>
      <c r="E18">
        <v>767</v>
      </c>
      <c r="F18" s="2"/>
      <c r="I18" s="33" t="s">
        <v>287</v>
      </c>
      <c r="J18" t="s">
        <v>288</v>
      </c>
    </row>
    <row r="19" spans="1:10" x14ac:dyDescent="0.3">
      <c r="A19">
        <v>14123</v>
      </c>
      <c r="B19" s="2"/>
      <c r="C19" t="s">
        <v>286</v>
      </c>
      <c r="D19" s="2"/>
      <c r="E19">
        <v>750</v>
      </c>
      <c r="F19" s="2"/>
    </row>
    <row r="20" spans="1:10" x14ac:dyDescent="0.3">
      <c r="A20">
        <v>14123</v>
      </c>
      <c r="B20" s="2"/>
      <c r="C20" t="s">
        <v>286</v>
      </c>
      <c r="D20" s="2"/>
      <c r="E20">
        <v>97</v>
      </c>
      <c r="F20" s="2"/>
    </row>
    <row r="21" spans="1:10" x14ac:dyDescent="0.3">
      <c r="A21">
        <v>14123</v>
      </c>
      <c r="B21" s="2"/>
      <c r="C21" t="s">
        <v>289</v>
      </c>
      <c r="D21" s="2"/>
      <c r="E21">
        <v>813</v>
      </c>
      <c r="F21" s="2"/>
    </row>
    <row r="22" spans="1:10" x14ac:dyDescent="0.3">
      <c r="A22">
        <v>14123</v>
      </c>
      <c r="B22" s="2"/>
      <c r="C22" t="s">
        <v>289</v>
      </c>
      <c r="D22" s="2"/>
      <c r="E22">
        <v>169</v>
      </c>
      <c r="F22" s="2"/>
    </row>
    <row r="23" spans="1:10" x14ac:dyDescent="0.3">
      <c r="A23">
        <v>14123</v>
      </c>
      <c r="B23" s="2"/>
      <c r="C23" t="s">
        <v>289</v>
      </c>
      <c r="D23" s="2"/>
      <c r="E23">
        <v>101</v>
      </c>
      <c r="F23" s="2"/>
    </row>
    <row r="24" spans="1:10" x14ac:dyDescent="0.3">
      <c r="A24">
        <v>14123</v>
      </c>
      <c r="B24" s="2"/>
      <c r="C24" t="s">
        <v>289</v>
      </c>
      <c r="D24" s="2"/>
      <c r="E24">
        <v>398</v>
      </c>
      <c r="F24" s="2"/>
    </row>
    <row r="25" spans="1:10" x14ac:dyDescent="0.3">
      <c r="A25">
        <v>14123</v>
      </c>
      <c r="B25" s="2"/>
      <c r="C25" t="s">
        <v>269</v>
      </c>
      <c r="D25" s="2"/>
      <c r="E25">
        <v>439</v>
      </c>
      <c r="F25" s="2"/>
    </row>
    <row r="26" spans="1:10" x14ac:dyDescent="0.3">
      <c r="A26">
        <v>14124</v>
      </c>
      <c r="B26" s="2"/>
      <c r="C26" t="s">
        <v>290</v>
      </c>
      <c r="D26" s="2"/>
      <c r="E26">
        <v>666</v>
      </c>
      <c r="F26" s="2"/>
    </row>
    <row r="27" spans="1:10" x14ac:dyDescent="0.3">
      <c r="A27">
        <v>14124</v>
      </c>
      <c r="B27" s="2"/>
      <c r="C27" t="s">
        <v>290</v>
      </c>
      <c r="D27" s="2"/>
      <c r="E27">
        <v>794</v>
      </c>
      <c r="F27" s="2"/>
    </row>
    <row r="28" spans="1:10" x14ac:dyDescent="0.3">
      <c r="A28">
        <v>14124</v>
      </c>
      <c r="B28" s="2"/>
      <c r="C28" t="s">
        <v>70</v>
      </c>
      <c r="D28" s="2"/>
      <c r="E28">
        <v>962</v>
      </c>
      <c r="F28" s="2"/>
    </row>
    <row r="29" spans="1:10" x14ac:dyDescent="0.3">
      <c r="A29">
        <v>14124</v>
      </c>
      <c r="B29" s="2"/>
      <c r="C29" t="s">
        <v>70</v>
      </c>
      <c r="D29" s="2"/>
      <c r="E29">
        <v>577</v>
      </c>
      <c r="F29" s="2"/>
    </row>
    <row r="30" spans="1:10" x14ac:dyDescent="0.3">
      <c r="A30">
        <v>14124</v>
      </c>
      <c r="B30" s="2"/>
      <c r="C30" t="s">
        <v>70</v>
      </c>
      <c r="D30" s="2"/>
      <c r="E30">
        <v>868</v>
      </c>
      <c r="F30" s="2"/>
    </row>
    <row r="31" spans="1:10" x14ac:dyDescent="0.3">
      <c r="A31">
        <v>14124</v>
      </c>
      <c r="B31" s="2"/>
      <c r="C31" t="s">
        <v>291</v>
      </c>
      <c r="D31" s="2"/>
      <c r="E31">
        <v>629</v>
      </c>
      <c r="F31" s="2"/>
    </row>
    <row r="32" spans="1:10" x14ac:dyDescent="0.3">
      <c r="A32">
        <v>14124</v>
      </c>
      <c r="B32" s="2"/>
      <c r="C32" t="s">
        <v>291</v>
      </c>
      <c r="D32" s="2"/>
      <c r="E32">
        <v>663</v>
      </c>
      <c r="F32" s="2"/>
    </row>
    <row r="33" spans="1:6" x14ac:dyDescent="0.3">
      <c r="A33">
        <v>14124</v>
      </c>
      <c r="B33" s="2"/>
      <c r="C33" t="s">
        <v>70</v>
      </c>
      <c r="D33" s="2"/>
      <c r="E33">
        <v>480</v>
      </c>
      <c r="F33" s="2"/>
    </row>
    <row r="34" spans="1:6" x14ac:dyDescent="0.3">
      <c r="A34">
        <v>14124</v>
      </c>
      <c r="B34" s="2"/>
      <c r="C34" t="s">
        <v>70</v>
      </c>
      <c r="D34" s="2"/>
      <c r="E34">
        <v>854</v>
      </c>
      <c r="F34" s="2"/>
    </row>
    <row r="35" spans="1:6" x14ac:dyDescent="0.3">
      <c r="A35">
        <v>14124</v>
      </c>
      <c r="B35" s="2"/>
      <c r="C35" t="s">
        <v>292</v>
      </c>
      <c r="D35" s="2"/>
      <c r="E35">
        <v>539</v>
      </c>
      <c r="F35" s="2"/>
    </row>
    <row r="36" spans="1:6" x14ac:dyDescent="0.3">
      <c r="A36">
        <v>14125</v>
      </c>
      <c r="B36" s="2"/>
      <c r="C36" t="s">
        <v>292</v>
      </c>
      <c r="D36" s="2"/>
      <c r="E36">
        <v>466</v>
      </c>
      <c r="F36" s="2"/>
    </row>
    <row r="37" spans="1:6" x14ac:dyDescent="0.3">
      <c r="A37">
        <v>14125</v>
      </c>
      <c r="B37" s="2"/>
      <c r="C37" t="s">
        <v>289</v>
      </c>
      <c r="D37" s="2"/>
      <c r="E37">
        <v>90</v>
      </c>
      <c r="F37" s="2"/>
    </row>
    <row r="38" spans="1:6" x14ac:dyDescent="0.3">
      <c r="A38">
        <v>14125</v>
      </c>
      <c r="B38" s="2"/>
      <c r="C38" t="s">
        <v>289</v>
      </c>
      <c r="D38" s="2"/>
      <c r="E38">
        <v>333</v>
      </c>
      <c r="F38" s="2"/>
    </row>
    <row r="39" spans="1:6" x14ac:dyDescent="0.3">
      <c r="A39">
        <v>14125</v>
      </c>
      <c r="B39" s="2"/>
      <c r="C39" t="s">
        <v>289</v>
      </c>
      <c r="D39" s="2"/>
      <c r="E39">
        <v>718</v>
      </c>
      <c r="F39" s="2"/>
    </row>
    <row r="40" spans="1:6" x14ac:dyDescent="0.3">
      <c r="A40">
        <v>14125</v>
      </c>
      <c r="B40" s="2"/>
      <c r="C40" t="s">
        <v>289</v>
      </c>
      <c r="D40" s="2"/>
      <c r="E40">
        <v>10</v>
      </c>
      <c r="F40" s="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5:L32"/>
  <sheetViews>
    <sheetView zoomScale="69" zoomScaleNormal="145" workbookViewId="0">
      <selection activeCell="A7" sqref="A7"/>
    </sheetView>
  </sheetViews>
  <sheetFormatPr defaultColWidth="8.88671875" defaultRowHeight="14.4" x14ac:dyDescent="0.3"/>
  <cols>
    <col min="1" max="1" width="10.6640625" bestFit="1" customWidth="1"/>
    <col min="2" max="2" width="14.6640625" customWidth="1"/>
    <col min="5" max="5" width="20.88671875" bestFit="1" customWidth="1"/>
    <col min="6" max="6" width="11" customWidth="1"/>
    <col min="11" max="11" width="10.6640625" bestFit="1" customWidth="1"/>
    <col min="12" max="12" width="12.33203125" bestFit="1" customWidth="1"/>
  </cols>
  <sheetData>
    <row r="5" spans="1:12" x14ac:dyDescent="0.3">
      <c r="C5" s="7" t="s">
        <v>293</v>
      </c>
      <c r="D5" s="8"/>
    </row>
    <row r="6" spans="1:12" x14ac:dyDescent="0.3">
      <c r="A6" s="9" t="s">
        <v>294</v>
      </c>
      <c r="B6" s="9" t="s">
        <v>295</v>
      </c>
      <c r="C6" s="9" t="s">
        <v>296</v>
      </c>
      <c r="D6" s="9" t="s">
        <v>288</v>
      </c>
      <c r="E6" s="9" t="s">
        <v>297</v>
      </c>
      <c r="K6" s="3" t="s">
        <v>294</v>
      </c>
      <c r="L6" s="3" t="s">
        <v>295</v>
      </c>
    </row>
    <row r="7" spans="1:12" x14ac:dyDescent="0.3">
      <c r="A7" s="34" t="s">
        <v>298</v>
      </c>
      <c r="B7" s="42"/>
      <c r="C7" s="11">
        <v>2.2599999999999998</v>
      </c>
      <c r="D7" s="11">
        <v>2.69</v>
      </c>
      <c r="E7">
        <v>944</v>
      </c>
      <c r="K7" s="34">
        <v>16001</v>
      </c>
      <c r="L7">
        <v>5</v>
      </c>
    </row>
    <row r="8" spans="1:12" x14ac:dyDescent="0.3">
      <c r="A8" s="34" t="s">
        <v>299</v>
      </c>
      <c r="B8" s="42"/>
      <c r="C8" s="11">
        <v>2.72</v>
      </c>
      <c r="D8" s="11">
        <v>2.99</v>
      </c>
      <c r="E8">
        <v>1050</v>
      </c>
      <c r="K8" s="34">
        <v>16002</v>
      </c>
      <c r="L8">
        <v>4</v>
      </c>
    </row>
    <row r="9" spans="1:12" x14ac:dyDescent="0.3">
      <c r="A9" s="34" t="s">
        <v>300</v>
      </c>
      <c r="B9" s="42"/>
      <c r="C9" s="11">
        <v>2.4500000000000002</v>
      </c>
      <c r="D9" s="11">
        <v>2.93</v>
      </c>
      <c r="E9">
        <v>1126</v>
      </c>
      <c r="K9" s="34">
        <v>16003</v>
      </c>
      <c r="L9">
        <v>3</v>
      </c>
    </row>
    <row r="10" spans="1:12" x14ac:dyDescent="0.3">
      <c r="A10" s="34" t="s">
        <v>301</v>
      </c>
      <c r="B10" s="42"/>
      <c r="C10" s="11">
        <v>2.39</v>
      </c>
      <c r="D10" s="11">
        <v>2.81</v>
      </c>
      <c r="E10">
        <v>926</v>
      </c>
      <c r="K10" s="34">
        <v>16004</v>
      </c>
      <c r="L10">
        <v>4</v>
      </c>
    </row>
    <row r="11" spans="1:12" x14ac:dyDescent="0.3">
      <c r="A11" s="34" t="s">
        <v>302</v>
      </c>
      <c r="B11" s="42"/>
      <c r="C11" s="11">
        <v>2.2799999999999998</v>
      </c>
      <c r="D11" s="11">
        <v>2.62</v>
      </c>
      <c r="E11">
        <v>1111</v>
      </c>
      <c r="K11" s="34">
        <v>16005</v>
      </c>
      <c r="L11">
        <v>5</v>
      </c>
    </row>
    <row r="12" spans="1:12" x14ac:dyDescent="0.3">
      <c r="A12" s="34" t="s">
        <v>303</v>
      </c>
      <c r="B12" s="42"/>
      <c r="C12" s="11">
        <v>2.13</v>
      </c>
      <c r="D12" s="11">
        <v>2.5099999999999998</v>
      </c>
      <c r="E12">
        <v>977</v>
      </c>
      <c r="K12" s="34">
        <v>16006</v>
      </c>
      <c r="L12">
        <v>5</v>
      </c>
    </row>
    <row r="13" spans="1:12" x14ac:dyDescent="0.3">
      <c r="A13" s="34" t="s">
        <v>304</v>
      </c>
      <c r="B13" s="42"/>
      <c r="C13" s="11">
        <v>2.8</v>
      </c>
      <c r="D13" s="11">
        <v>3.18</v>
      </c>
      <c r="E13">
        <v>949</v>
      </c>
      <c r="K13" s="34">
        <v>16007</v>
      </c>
      <c r="L13">
        <v>4</v>
      </c>
    </row>
    <row r="14" spans="1:12" x14ac:dyDescent="0.3">
      <c r="A14" s="34" t="s">
        <v>305</v>
      </c>
      <c r="B14" s="42"/>
      <c r="C14" s="11">
        <v>2.33</v>
      </c>
      <c r="D14" s="11">
        <v>2.65</v>
      </c>
      <c r="E14">
        <v>817</v>
      </c>
      <c r="K14" s="34">
        <v>16008</v>
      </c>
      <c r="L14">
        <v>3</v>
      </c>
    </row>
    <row r="15" spans="1:12" x14ac:dyDescent="0.3">
      <c r="A15" s="34" t="s">
        <v>306</v>
      </c>
      <c r="B15" s="42"/>
      <c r="C15" s="11">
        <v>2.0699999999999998</v>
      </c>
      <c r="D15" s="11">
        <v>2.5299999999999998</v>
      </c>
      <c r="E15">
        <v>946</v>
      </c>
      <c r="K15" s="34">
        <v>16009</v>
      </c>
      <c r="L15">
        <v>3</v>
      </c>
    </row>
    <row r="16" spans="1:12" x14ac:dyDescent="0.3">
      <c r="A16" s="34" t="s">
        <v>307</v>
      </c>
      <c r="B16" s="42"/>
      <c r="C16" s="11">
        <v>2.2999999999999998</v>
      </c>
      <c r="D16" s="11">
        <v>2.74</v>
      </c>
      <c r="E16">
        <v>874</v>
      </c>
      <c r="K16" s="34">
        <v>16010</v>
      </c>
      <c r="L16">
        <v>4</v>
      </c>
    </row>
    <row r="17" spans="1:12" x14ac:dyDescent="0.3">
      <c r="A17" s="34" t="s">
        <v>308</v>
      </c>
      <c r="B17" s="42"/>
      <c r="C17" s="11">
        <v>2.83</v>
      </c>
      <c r="D17" s="11">
        <v>3.25</v>
      </c>
      <c r="E17">
        <v>1163</v>
      </c>
      <c r="K17" s="34">
        <v>16011</v>
      </c>
      <c r="L17">
        <v>2</v>
      </c>
    </row>
    <row r="18" spans="1:12" x14ac:dyDescent="0.3">
      <c r="A18" s="34" t="s">
        <v>309</v>
      </c>
      <c r="B18" s="42"/>
      <c r="C18" s="11">
        <v>2.27</v>
      </c>
      <c r="D18" s="11">
        <v>2.73</v>
      </c>
      <c r="E18">
        <v>1117</v>
      </c>
      <c r="K18" s="34">
        <v>16012</v>
      </c>
      <c r="L18">
        <v>2</v>
      </c>
    </row>
    <row r="19" spans="1:12" x14ac:dyDescent="0.3">
      <c r="A19" s="34" t="s">
        <v>310</v>
      </c>
      <c r="B19" s="42"/>
      <c r="C19" s="11">
        <v>3.03</v>
      </c>
      <c r="D19" s="11">
        <v>3.46</v>
      </c>
      <c r="E19">
        <v>928</v>
      </c>
      <c r="K19" s="34">
        <v>16013</v>
      </c>
      <c r="L19">
        <v>4</v>
      </c>
    </row>
    <row r="20" spans="1:12" x14ac:dyDescent="0.3">
      <c r="A20" s="34" t="s">
        <v>311</v>
      </c>
      <c r="B20" s="42"/>
      <c r="C20" s="11">
        <v>2.67</v>
      </c>
      <c r="D20" s="11">
        <v>2.99</v>
      </c>
      <c r="E20">
        <v>802</v>
      </c>
      <c r="K20" s="34">
        <v>16014</v>
      </c>
      <c r="L20">
        <v>4</v>
      </c>
    </row>
    <row r="21" spans="1:12" x14ac:dyDescent="0.3">
      <c r="A21" s="34" t="s">
        <v>312</v>
      </c>
      <c r="B21" s="42"/>
      <c r="C21" s="11">
        <v>2.97</v>
      </c>
      <c r="D21" s="11">
        <v>3.27</v>
      </c>
      <c r="E21">
        <v>1166</v>
      </c>
      <c r="K21" s="34">
        <v>16015</v>
      </c>
      <c r="L21">
        <v>2</v>
      </c>
    </row>
    <row r="22" spans="1:12" x14ac:dyDescent="0.3">
      <c r="A22" s="34" t="s">
        <v>313</v>
      </c>
      <c r="B22" s="42"/>
      <c r="C22" s="11">
        <v>2.37</v>
      </c>
      <c r="D22" s="11">
        <v>2.69</v>
      </c>
      <c r="E22">
        <v>1178</v>
      </c>
      <c r="K22" s="34">
        <v>16016</v>
      </c>
      <c r="L22">
        <v>4</v>
      </c>
    </row>
    <row r="23" spans="1:12" x14ac:dyDescent="0.3">
      <c r="A23" s="34" t="s">
        <v>314</v>
      </c>
      <c r="B23" s="42"/>
      <c r="C23" s="11">
        <v>2.2599999999999998</v>
      </c>
      <c r="D23" s="11">
        <v>2.69</v>
      </c>
      <c r="E23">
        <v>880</v>
      </c>
      <c r="K23" s="34">
        <v>16017</v>
      </c>
      <c r="L23">
        <v>5</v>
      </c>
    </row>
    <row r="24" spans="1:12" x14ac:dyDescent="0.3">
      <c r="A24" s="34" t="s">
        <v>315</v>
      </c>
      <c r="B24" s="42"/>
      <c r="C24" s="11">
        <v>2.09</v>
      </c>
      <c r="D24" s="11">
        <v>2.36</v>
      </c>
      <c r="E24">
        <v>892</v>
      </c>
      <c r="K24" s="34">
        <v>16018</v>
      </c>
      <c r="L24">
        <v>5</v>
      </c>
    </row>
    <row r="25" spans="1:12" x14ac:dyDescent="0.3">
      <c r="A25" s="34" t="s">
        <v>316</v>
      </c>
      <c r="B25" s="42"/>
      <c r="C25" s="11">
        <v>2.04</v>
      </c>
      <c r="D25" s="11">
        <v>2.4300000000000002</v>
      </c>
      <c r="E25">
        <v>999</v>
      </c>
      <c r="K25" s="34">
        <v>16019</v>
      </c>
      <c r="L25">
        <v>4</v>
      </c>
    </row>
    <row r="26" spans="1:12" x14ac:dyDescent="0.3">
      <c r="A26" s="34" t="s">
        <v>317</v>
      </c>
      <c r="B26" s="42"/>
      <c r="C26" s="11">
        <v>2.44</v>
      </c>
      <c r="D26" s="11">
        <v>2.77</v>
      </c>
      <c r="E26">
        <v>1070</v>
      </c>
      <c r="K26" s="34">
        <v>16020</v>
      </c>
      <c r="L26">
        <v>4</v>
      </c>
    </row>
    <row r="27" spans="1:12" x14ac:dyDescent="0.3">
      <c r="A27" s="34" t="s">
        <v>318</v>
      </c>
      <c r="B27" s="42"/>
      <c r="C27" s="11">
        <v>2.2400000000000002</v>
      </c>
      <c r="D27" s="11">
        <v>2.7</v>
      </c>
      <c r="E27">
        <v>926</v>
      </c>
      <c r="K27" s="34">
        <v>16021</v>
      </c>
      <c r="L27">
        <v>4</v>
      </c>
    </row>
    <row r="28" spans="1:12" x14ac:dyDescent="0.3">
      <c r="A28" s="34" t="s">
        <v>319</v>
      </c>
      <c r="B28" s="42"/>
      <c r="C28" s="11">
        <v>2.17</v>
      </c>
      <c r="D28" s="11">
        <v>2.56</v>
      </c>
      <c r="E28">
        <v>990</v>
      </c>
      <c r="K28" s="34">
        <v>16022</v>
      </c>
      <c r="L28">
        <v>4</v>
      </c>
    </row>
    <row r="29" spans="1:12" x14ac:dyDescent="0.3">
      <c r="A29" s="34" t="s">
        <v>320</v>
      </c>
      <c r="B29" s="42"/>
      <c r="C29" s="11">
        <v>2.2400000000000002</v>
      </c>
      <c r="D29" s="11">
        <v>2.57</v>
      </c>
      <c r="E29">
        <v>1115</v>
      </c>
      <c r="K29" s="34">
        <v>16023</v>
      </c>
      <c r="L29">
        <v>2</v>
      </c>
    </row>
    <row r="30" spans="1:12" x14ac:dyDescent="0.3">
      <c r="A30" s="34" t="s">
        <v>321</v>
      </c>
      <c r="B30" s="42"/>
      <c r="C30" s="11">
        <v>2.19</v>
      </c>
      <c r="D30" s="11">
        <v>2.62</v>
      </c>
      <c r="E30">
        <v>929</v>
      </c>
      <c r="K30" s="34">
        <v>16024</v>
      </c>
      <c r="L30">
        <v>5</v>
      </c>
    </row>
    <row r="31" spans="1:12" x14ac:dyDescent="0.3">
      <c r="A31" s="34" t="s">
        <v>322</v>
      </c>
      <c r="B31" s="42"/>
      <c r="C31" s="11">
        <v>3</v>
      </c>
      <c r="D31" s="11">
        <v>3.47</v>
      </c>
      <c r="E31">
        <v>910</v>
      </c>
      <c r="K31" s="34">
        <v>16025</v>
      </c>
      <c r="L31">
        <v>3</v>
      </c>
    </row>
    <row r="32" spans="1:12" x14ac:dyDescent="0.3">
      <c r="A32" s="34" t="s">
        <v>323</v>
      </c>
      <c r="B32" s="42"/>
      <c r="C32" s="11">
        <v>2.21</v>
      </c>
      <c r="D32" s="11">
        <v>2.61</v>
      </c>
      <c r="E32">
        <v>1069</v>
      </c>
      <c r="K32" s="34">
        <v>16026</v>
      </c>
      <c r="L32">
        <v>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6:E59"/>
  <sheetViews>
    <sheetView zoomScale="120" zoomScaleNormal="120" workbookViewId="0">
      <selection activeCell="E7" sqref="E7"/>
    </sheetView>
  </sheetViews>
  <sheetFormatPr defaultColWidth="8.88671875" defaultRowHeight="14.4" x14ac:dyDescent="0.3"/>
  <cols>
    <col min="4" max="4" width="13.44140625" bestFit="1" customWidth="1"/>
    <col min="7" max="7" width="14.44140625" bestFit="1" customWidth="1"/>
  </cols>
  <sheetData>
    <row r="6" spans="3:5" x14ac:dyDescent="0.3">
      <c r="C6" s="3" t="s">
        <v>335</v>
      </c>
      <c r="D6" s="3" t="s">
        <v>336</v>
      </c>
      <c r="E6" s="3" t="s">
        <v>337</v>
      </c>
    </row>
    <row r="7" spans="3:5" x14ac:dyDescent="0.3">
      <c r="C7">
        <v>201440</v>
      </c>
      <c r="D7">
        <v>9567</v>
      </c>
      <c r="E7">
        <v>3.22</v>
      </c>
    </row>
    <row r="8" spans="3:5" x14ac:dyDescent="0.3">
      <c r="C8">
        <v>201441</v>
      </c>
      <c r="D8">
        <v>11036</v>
      </c>
      <c r="E8">
        <v>3.97</v>
      </c>
    </row>
    <row r="9" spans="3:5" x14ac:dyDescent="0.3">
      <c r="C9">
        <v>201442</v>
      </c>
      <c r="D9">
        <v>11729</v>
      </c>
      <c r="E9">
        <v>4.97</v>
      </c>
    </row>
    <row r="10" spans="3:5" x14ac:dyDescent="0.3">
      <c r="C10">
        <v>201443</v>
      </c>
      <c r="D10">
        <v>11385</v>
      </c>
      <c r="E10">
        <v>4.7699999999999996</v>
      </c>
    </row>
    <row r="11" spans="3:5" x14ac:dyDescent="0.3">
      <c r="C11">
        <v>201444</v>
      </c>
      <c r="D11">
        <v>11525</v>
      </c>
      <c r="E11">
        <v>6.29</v>
      </c>
    </row>
    <row r="12" spans="3:5" x14ac:dyDescent="0.3">
      <c r="C12">
        <v>201445</v>
      </c>
      <c r="D12">
        <v>12918</v>
      </c>
      <c r="E12">
        <v>8.94</v>
      </c>
    </row>
    <row r="13" spans="3:5" x14ac:dyDescent="0.3">
      <c r="C13">
        <v>201446</v>
      </c>
      <c r="D13">
        <v>13776</v>
      </c>
      <c r="E13">
        <v>10.27</v>
      </c>
    </row>
    <row r="14" spans="3:5" x14ac:dyDescent="0.3">
      <c r="C14">
        <v>201447</v>
      </c>
      <c r="D14">
        <v>16166</v>
      </c>
      <c r="E14">
        <v>14.85</v>
      </c>
    </row>
    <row r="15" spans="3:5" x14ac:dyDescent="0.3">
      <c r="C15">
        <v>201448</v>
      </c>
      <c r="D15">
        <v>18504</v>
      </c>
      <c r="E15">
        <v>19.579999999999998</v>
      </c>
    </row>
    <row r="16" spans="3:5" x14ac:dyDescent="0.3">
      <c r="C16">
        <v>201449</v>
      </c>
      <c r="D16">
        <v>23064</v>
      </c>
      <c r="E16">
        <v>23.09</v>
      </c>
    </row>
    <row r="17" spans="3:5" x14ac:dyDescent="0.3">
      <c r="C17">
        <v>201450</v>
      </c>
      <c r="D17">
        <v>29214</v>
      </c>
      <c r="E17">
        <v>28</v>
      </c>
    </row>
    <row r="18" spans="3:5" x14ac:dyDescent="0.3">
      <c r="C18">
        <v>201451</v>
      </c>
      <c r="D18">
        <v>37109</v>
      </c>
      <c r="E18">
        <v>30.89</v>
      </c>
    </row>
    <row r="19" spans="3:5" x14ac:dyDescent="0.3">
      <c r="C19">
        <v>201452</v>
      </c>
      <c r="D19">
        <v>42466</v>
      </c>
      <c r="E19">
        <v>32.369999999999997</v>
      </c>
    </row>
    <row r="20" spans="3:5" x14ac:dyDescent="0.3">
      <c r="C20">
        <v>201453</v>
      </c>
      <c r="D20">
        <v>41579</v>
      </c>
      <c r="E20">
        <v>27.43</v>
      </c>
    </row>
    <row r="21" spans="3:5" x14ac:dyDescent="0.3">
      <c r="C21">
        <v>201501</v>
      </c>
      <c r="D21">
        <v>38493</v>
      </c>
      <c r="E21">
        <v>23.99</v>
      </c>
    </row>
    <row r="22" spans="3:5" x14ac:dyDescent="0.3">
      <c r="C22">
        <v>201502</v>
      </c>
      <c r="D22">
        <v>35593</v>
      </c>
      <c r="E22">
        <v>24.28</v>
      </c>
    </row>
    <row r="23" spans="3:5" x14ac:dyDescent="0.3">
      <c r="C23">
        <v>201503</v>
      </c>
      <c r="D23">
        <v>34191</v>
      </c>
      <c r="E23">
        <v>23.34</v>
      </c>
    </row>
    <row r="24" spans="3:5" x14ac:dyDescent="0.3">
      <c r="C24">
        <v>201504</v>
      </c>
      <c r="D24">
        <v>32001</v>
      </c>
      <c r="E24">
        <v>21.49</v>
      </c>
    </row>
    <row r="25" spans="3:5" x14ac:dyDescent="0.3">
      <c r="C25">
        <v>201505</v>
      </c>
      <c r="D25">
        <v>29578</v>
      </c>
      <c r="E25">
        <v>19</v>
      </c>
    </row>
    <row r="26" spans="3:5" x14ac:dyDescent="0.3">
      <c r="C26">
        <v>201506</v>
      </c>
      <c r="D26">
        <v>26986</v>
      </c>
      <c r="E26">
        <v>15.54</v>
      </c>
    </row>
    <row r="27" spans="3:5" x14ac:dyDescent="0.3">
      <c r="C27">
        <v>201507</v>
      </c>
      <c r="D27">
        <v>24292</v>
      </c>
      <c r="E27">
        <v>13.86</v>
      </c>
    </row>
    <row r="28" spans="3:5" x14ac:dyDescent="0.3">
      <c r="C28">
        <v>201508</v>
      </c>
      <c r="D28">
        <v>22293</v>
      </c>
      <c r="E28">
        <v>12.73</v>
      </c>
    </row>
    <row r="29" spans="3:5" x14ac:dyDescent="0.3">
      <c r="C29">
        <v>201509</v>
      </c>
      <c r="D29">
        <v>20419</v>
      </c>
      <c r="E29">
        <v>13.16</v>
      </c>
    </row>
    <row r="30" spans="3:5" x14ac:dyDescent="0.3">
      <c r="C30">
        <v>201510</v>
      </c>
      <c r="D30">
        <v>19843</v>
      </c>
      <c r="E30">
        <v>12.71</v>
      </c>
    </row>
    <row r="31" spans="3:5" x14ac:dyDescent="0.3">
      <c r="C31">
        <v>201511</v>
      </c>
      <c r="D31">
        <v>18418</v>
      </c>
      <c r="E31">
        <v>11.98</v>
      </c>
    </row>
    <row r="32" spans="3:5" x14ac:dyDescent="0.3">
      <c r="C32">
        <v>201512</v>
      </c>
      <c r="D32">
        <v>16980</v>
      </c>
      <c r="E32">
        <v>11.24</v>
      </c>
    </row>
    <row r="33" spans="3:5" x14ac:dyDescent="0.3">
      <c r="C33">
        <v>201513</v>
      </c>
      <c r="D33">
        <v>15123</v>
      </c>
      <c r="E33">
        <v>11.01</v>
      </c>
    </row>
    <row r="34" spans="3:5" x14ac:dyDescent="0.3">
      <c r="C34">
        <v>201514</v>
      </c>
      <c r="D34">
        <v>14741</v>
      </c>
      <c r="E34">
        <v>9.98</v>
      </c>
    </row>
    <row r="35" spans="3:5" x14ac:dyDescent="0.3">
      <c r="C35">
        <v>201515</v>
      </c>
      <c r="D35">
        <v>13389</v>
      </c>
      <c r="E35">
        <v>8.41</v>
      </c>
    </row>
    <row r="36" spans="3:5" x14ac:dyDescent="0.3">
      <c r="C36">
        <v>201516</v>
      </c>
      <c r="D36">
        <v>11872</v>
      </c>
      <c r="E36">
        <v>6.51</v>
      </c>
    </row>
    <row r="37" spans="3:5" x14ac:dyDescent="0.3">
      <c r="C37">
        <v>201517</v>
      </c>
      <c r="D37">
        <v>10769</v>
      </c>
      <c r="E37">
        <v>5.65</v>
      </c>
    </row>
    <row r="38" spans="3:5" x14ac:dyDescent="0.3">
      <c r="C38">
        <v>201518</v>
      </c>
      <c r="D38">
        <v>9784</v>
      </c>
      <c r="E38">
        <v>5.38</v>
      </c>
    </row>
    <row r="39" spans="3:5" x14ac:dyDescent="0.3">
      <c r="C39">
        <v>201519</v>
      </c>
      <c r="D39">
        <v>9188</v>
      </c>
      <c r="E39">
        <v>4.17</v>
      </c>
    </row>
    <row r="40" spans="3:5" x14ac:dyDescent="0.3">
      <c r="C40">
        <v>201520</v>
      </c>
      <c r="D40">
        <v>8412</v>
      </c>
      <c r="E40">
        <v>3.64</v>
      </c>
    </row>
    <row r="41" spans="3:5" x14ac:dyDescent="0.3">
      <c r="C41">
        <v>201521</v>
      </c>
      <c r="D41">
        <v>7747</v>
      </c>
      <c r="E41">
        <v>2.91</v>
      </c>
    </row>
    <row r="42" spans="3:5" x14ac:dyDescent="0.3">
      <c r="C42">
        <v>201522</v>
      </c>
      <c r="D42">
        <v>6991</v>
      </c>
      <c r="E42">
        <v>2.76</v>
      </c>
    </row>
    <row r="43" spans="3:5" x14ac:dyDescent="0.3">
      <c r="C43">
        <v>201523</v>
      </c>
      <c r="D43">
        <v>6724</v>
      </c>
      <c r="E43">
        <v>2.64</v>
      </c>
    </row>
    <row r="44" spans="3:5" x14ac:dyDescent="0.3">
      <c r="C44">
        <v>201524</v>
      </c>
      <c r="D44">
        <v>6132</v>
      </c>
      <c r="E44">
        <v>2.4700000000000002</v>
      </c>
    </row>
    <row r="45" spans="3:5" x14ac:dyDescent="0.3">
      <c r="C45">
        <v>201525</v>
      </c>
      <c r="D45">
        <v>5557</v>
      </c>
      <c r="E45">
        <v>2.17</v>
      </c>
    </row>
    <row r="46" spans="3:5" x14ac:dyDescent="0.3">
      <c r="C46">
        <v>201526</v>
      </c>
      <c r="D46">
        <v>5230</v>
      </c>
      <c r="E46">
        <v>2.46</v>
      </c>
    </row>
    <row r="47" spans="3:5" x14ac:dyDescent="0.3">
      <c r="C47">
        <v>201527</v>
      </c>
      <c r="D47">
        <v>5253</v>
      </c>
      <c r="E47">
        <v>1.88</v>
      </c>
    </row>
    <row r="48" spans="3:5" x14ac:dyDescent="0.3">
      <c r="C48">
        <v>201528</v>
      </c>
      <c r="D48">
        <v>5034</v>
      </c>
      <c r="E48">
        <v>1.7</v>
      </c>
    </row>
    <row r="49" spans="3:5" x14ac:dyDescent="0.3">
      <c r="C49">
        <v>201529</v>
      </c>
      <c r="D49">
        <v>4802</v>
      </c>
      <c r="E49">
        <v>1.66</v>
      </c>
    </row>
    <row r="50" spans="3:5" x14ac:dyDescent="0.3">
      <c r="C50">
        <v>201530</v>
      </c>
      <c r="D50">
        <v>4785</v>
      </c>
      <c r="E50">
        <v>1.6</v>
      </c>
    </row>
    <row r="51" spans="3:5" x14ac:dyDescent="0.3">
      <c r="C51">
        <v>201531</v>
      </c>
      <c r="D51">
        <v>4781</v>
      </c>
      <c r="E51">
        <v>1.9</v>
      </c>
    </row>
    <row r="52" spans="3:5" x14ac:dyDescent="0.3">
      <c r="C52">
        <v>201532</v>
      </c>
      <c r="D52">
        <v>4857</v>
      </c>
      <c r="E52">
        <v>1.62</v>
      </c>
    </row>
    <row r="53" spans="3:5" x14ac:dyDescent="0.3">
      <c r="C53">
        <v>201533</v>
      </c>
      <c r="D53">
        <v>5118</v>
      </c>
      <c r="E53">
        <v>1.87</v>
      </c>
    </row>
    <row r="54" spans="3:5" x14ac:dyDescent="0.3">
      <c r="C54">
        <v>201534</v>
      </c>
      <c r="D54">
        <v>5322</v>
      </c>
      <c r="E54">
        <v>1.84</v>
      </c>
    </row>
    <row r="55" spans="3:5" x14ac:dyDescent="0.3">
      <c r="C55">
        <v>201535</v>
      </c>
      <c r="D55">
        <v>5979</v>
      </c>
      <c r="E55">
        <v>2.2400000000000002</v>
      </c>
    </row>
    <row r="56" spans="3:5" x14ac:dyDescent="0.3">
      <c r="C56">
        <v>201536</v>
      </c>
      <c r="D56">
        <v>6493</v>
      </c>
      <c r="E56">
        <v>2.0099999999999998</v>
      </c>
    </row>
    <row r="57" spans="3:5" x14ac:dyDescent="0.3">
      <c r="C57">
        <v>201537</v>
      </c>
      <c r="D57">
        <v>6854</v>
      </c>
      <c r="E57">
        <v>2.4300000000000002</v>
      </c>
    </row>
    <row r="58" spans="3:5" x14ac:dyDescent="0.3">
      <c r="C58">
        <v>201538</v>
      </c>
      <c r="D58">
        <v>7253</v>
      </c>
      <c r="E58">
        <v>1.58</v>
      </c>
    </row>
    <row r="59" spans="3:5" x14ac:dyDescent="0.3">
      <c r="C59">
        <v>201539</v>
      </c>
      <c r="D59">
        <v>6354</v>
      </c>
      <c r="E59">
        <v>1.65</v>
      </c>
    </row>
  </sheetData>
  <pageMargins left="0.7" right="0.7" top="0.75" bottom="0.75" header="0.3" footer="0.3"/>
  <pageSetup orientation="portrait" horizontalDpi="200" verticalDpi="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6:G11"/>
  <sheetViews>
    <sheetView workbookViewId="0">
      <selection activeCell="E6" sqref="E6"/>
    </sheetView>
  </sheetViews>
  <sheetFormatPr defaultColWidth="8.88671875" defaultRowHeight="14.4" x14ac:dyDescent="0.3"/>
  <cols>
    <col min="3" max="3" width="13.109375" customWidth="1"/>
    <col min="4" max="4" width="25" customWidth="1"/>
    <col min="5" max="7" width="11.88671875" customWidth="1"/>
  </cols>
  <sheetData>
    <row r="6" spans="3:7" x14ac:dyDescent="0.3">
      <c r="C6" t="s">
        <v>265</v>
      </c>
      <c r="D6" t="s">
        <v>266</v>
      </c>
      <c r="E6" t="s">
        <v>169</v>
      </c>
      <c r="F6" t="s">
        <v>268</v>
      </c>
      <c r="G6" t="s">
        <v>324</v>
      </c>
    </row>
    <row r="7" spans="3:7" x14ac:dyDescent="0.3">
      <c r="C7" t="s">
        <v>325</v>
      </c>
      <c r="D7" t="s">
        <v>326</v>
      </c>
      <c r="E7">
        <v>400</v>
      </c>
      <c r="F7">
        <v>4</v>
      </c>
      <c r="G7">
        <f>E7*F7</f>
        <v>1600</v>
      </c>
    </row>
    <row r="8" spans="3:7" x14ac:dyDescent="0.3">
      <c r="C8" t="s">
        <v>327</v>
      </c>
      <c r="D8" t="s">
        <v>328</v>
      </c>
      <c r="E8">
        <v>400</v>
      </c>
      <c r="F8">
        <v>5</v>
      </c>
      <c r="G8">
        <f t="shared" ref="G8:G11" si="0">E8*F8</f>
        <v>2000</v>
      </c>
    </row>
    <row r="9" spans="3:7" x14ac:dyDescent="0.3">
      <c r="C9" t="s">
        <v>329</v>
      </c>
      <c r="D9" t="s">
        <v>330</v>
      </c>
      <c r="E9">
        <v>500</v>
      </c>
      <c r="F9">
        <v>4</v>
      </c>
      <c r="G9">
        <f t="shared" si="0"/>
        <v>2000</v>
      </c>
    </row>
    <row r="10" spans="3:7" x14ac:dyDescent="0.3">
      <c r="C10" t="s">
        <v>331</v>
      </c>
      <c r="D10" t="s">
        <v>332</v>
      </c>
      <c r="E10">
        <v>500</v>
      </c>
      <c r="F10">
        <v>3</v>
      </c>
      <c r="G10">
        <f t="shared" si="0"/>
        <v>1500</v>
      </c>
    </row>
    <row r="11" spans="3:7" x14ac:dyDescent="0.3">
      <c r="C11" t="s">
        <v>333</v>
      </c>
      <c r="D11" t="s">
        <v>334</v>
      </c>
      <c r="E11">
        <v>1250</v>
      </c>
      <c r="F11">
        <v>2</v>
      </c>
      <c r="G11">
        <f t="shared" si="0"/>
        <v>2500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B9"/>
  <sheetViews>
    <sheetView zoomScale="160" zoomScaleNormal="160" workbookViewId="0">
      <selection activeCell="A5" sqref="A5"/>
    </sheetView>
  </sheetViews>
  <sheetFormatPr defaultRowHeight="14.4" x14ac:dyDescent="0.3"/>
  <cols>
    <col min="1" max="1" width="17" bestFit="1" customWidth="1"/>
  </cols>
  <sheetData>
    <row r="2" spans="1:2" x14ac:dyDescent="0.3">
      <c r="A2" s="3" t="s">
        <v>344</v>
      </c>
    </row>
    <row r="5" spans="1:2" x14ac:dyDescent="0.3">
      <c r="A5" s="5" t="s">
        <v>338</v>
      </c>
      <c r="B5" s="5" t="s">
        <v>341</v>
      </c>
    </row>
    <row r="6" spans="1:2" x14ac:dyDescent="0.3">
      <c r="A6" s="6" t="s">
        <v>339</v>
      </c>
      <c r="B6" s="6"/>
    </row>
    <row r="7" spans="1:2" x14ac:dyDescent="0.3">
      <c r="A7" s="6" t="s">
        <v>340</v>
      </c>
      <c r="B7" s="6"/>
    </row>
    <row r="8" spans="1:2" x14ac:dyDescent="0.3">
      <c r="A8" s="6" t="s">
        <v>342</v>
      </c>
      <c r="B8" s="6"/>
    </row>
    <row r="9" spans="1:2" x14ac:dyDescent="0.3">
      <c r="A9" s="6" t="s">
        <v>343</v>
      </c>
      <c r="B9" s="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4"/>
  <sheetViews>
    <sheetView zoomScale="220" zoomScaleNormal="220" workbookViewId="0">
      <selection activeCell="A3" sqref="A3"/>
    </sheetView>
  </sheetViews>
  <sheetFormatPr defaultRowHeight="14.4" x14ac:dyDescent="0.3"/>
  <cols>
    <col min="1" max="1" width="9.109375" style="6"/>
  </cols>
  <sheetData>
    <row r="1" spans="1:2" x14ac:dyDescent="0.3">
      <c r="A1" s="23" t="s">
        <v>347</v>
      </c>
    </row>
    <row r="3" spans="1:2" x14ac:dyDescent="0.3">
      <c r="A3" s="5" t="s">
        <v>346</v>
      </c>
      <c r="B3" s="3" t="s">
        <v>345</v>
      </c>
    </row>
    <row r="4" spans="1:2" x14ac:dyDescent="0.3">
      <c r="A4" s="6">
        <v>0</v>
      </c>
    </row>
    <row r="5" spans="1:2" x14ac:dyDescent="0.3">
      <c r="A5" s="6">
        <v>1</v>
      </c>
    </row>
    <row r="6" spans="1:2" x14ac:dyDescent="0.3">
      <c r="A6" s="6">
        <v>2</v>
      </c>
    </row>
    <row r="7" spans="1:2" x14ac:dyDescent="0.3">
      <c r="A7" s="6">
        <v>3</v>
      </c>
    </row>
    <row r="8" spans="1:2" x14ac:dyDescent="0.3">
      <c r="A8" s="6">
        <v>4</v>
      </c>
    </row>
    <row r="9" spans="1:2" x14ac:dyDescent="0.3">
      <c r="A9" s="6">
        <v>5</v>
      </c>
    </row>
    <row r="10" spans="1:2" x14ac:dyDescent="0.3">
      <c r="A10" s="6">
        <v>6</v>
      </c>
    </row>
    <row r="11" spans="1:2" x14ac:dyDescent="0.3">
      <c r="A11" s="6">
        <v>7</v>
      </c>
    </row>
    <row r="12" spans="1:2" x14ac:dyDescent="0.3">
      <c r="A12" s="6">
        <v>8</v>
      </c>
    </row>
    <row r="13" spans="1:2" x14ac:dyDescent="0.3">
      <c r="A13" s="6">
        <v>9</v>
      </c>
    </row>
    <row r="14" spans="1:2" x14ac:dyDescent="0.3">
      <c r="A14" s="6">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vt:lpstr>
      <vt:lpstr>2</vt:lpstr>
      <vt:lpstr>3</vt:lpstr>
      <vt:lpstr>4</vt:lpstr>
      <vt:lpstr>5</vt:lpstr>
      <vt:lpstr>6</vt:lpstr>
      <vt:lpstr>7</vt:lpstr>
      <vt:lpstr>8</vt:lpstr>
      <vt:lpstr>9</vt:lpstr>
      <vt:lpstr>10</vt:lpstr>
      <vt:lpstr>11</vt:lpstr>
      <vt:lpstr>VBA1</vt:lpstr>
      <vt:lpstr>VBA2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Mandeep Singh</dc:creator>
  <cp:lastModifiedBy>radhika rawat</cp:lastModifiedBy>
  <dcterms:created xsi:type="dcterms:W3CDTF">2019-07-08T05:11:06Z</dcterms:created>
  <dcterms:modified xsi:type="dcterms:W3CDTF">2025-07-18T14:43:41Z</dcterms:modified>
</cp:coreProperties>
</file>