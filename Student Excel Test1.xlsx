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fc225232e13304/Desktop/SLA/Solved Excel Assignment/"/>
    </mc:Choice>
  </mc:AlternateContent>
  <xr:revisionPtr revIDLastSave="68" documentId="11_E76F52C3AE3621A1F294794BB432FA4C0F9949E2" xr6:coauthVersionLast="47" xr6:coauthVersionMax="47" xr10:uidLastSave="{6DCC9B08-6009-47EF-A56D-961ABABA4E39}"/>
  <bookViews>
    <workbookView xWindow="-108" yWindow="-108" windowWidth="23256" windowHeight="12456" xr2:uid="{00000000-000D-0000-FFFF-FFFF00000000}"/>
  </bookViews>
  <sheets>
    <sheet name="Sheet1" sheetId="2" r:id="rId1"/>
    <sheet name="Active List" sheetId="1" r:id="rId2"/>
    <sheet name="Sheet2" sheetId="3" r:id="rId3"/>
  </sheets>
  <definedNames>
    <definedName name="_xlnm._FilterDatabase" localSheetId="1" hidden="1">'Active List'!$A$1:$N$45</definedName>
    <definedName name="aa">Sheet1!$AH$2:$AP$2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BD3" i="2"/>
  <c r="F3" i="2" a="1"/>
  <c r="F3" i="2" s="1"/>
  <c r="G3" i="2" s="1" a="1"/>
  <c r="G3" i="2" s="1"/>
  <c r="H3" i="2" s="1" a="1"/>
  <c r="H3" i="2" s="1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10" i="2" a="1"/>
  <c r="F10" i="2"/>
  <c r="F11" i="2" a="1"/>
  <c r="F11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" i="2"/>
  <c r="AH4" i="2" a="1"/>
  <c r="AH5" i="2" s="1"/>
  <c r="AH8" i="2"/>
  <c r="AF4" i="2"/>
  <c r="AF5" i="2"/>
  <c r="AF6" i="2"/>
  <c r="AF7" i="2"/>
  <c r="AF8" i="2"/>
  <c r="AF9" i="2"/>
  <c r="AF10" i="2"/>
  <c r="AF11" i="2"/>
  <c r="AF12" i="2"/>
  <c r="AF3" i="2"/>
  <c r="AC4" i="2"/>
  <c r="AC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3" i="2"/>
  <c r="Q4" i="2"/>
  <c r="Q5" i="2"/>
  <c r="Q6" i="2"/>
  <c r="Q7" i="2"/>
  <c r="Q3" i="2"/>
  <c r="P4" i="2"/>
  <c r="P5" i="2"/>
  <c r="P6" i="2"/>
  <c r="P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3" i="2"/>
  <c r="B4" i="2" a="1"/>
  <c r="C4" i="2" s="1"/>
  <c r="B5" i="2" a="1"/>
  <c r="B5" i="2"/>
  <c r="C5" i="2"/>
  <c r="B6" i="2" a="1"/>
  <c r="B6" i="2" s="1"/>
  <c r="B7" i="2" a="1"/>
  <c r="C7" i="2" s="1"/>
  <c r="B7" i="2"/>
  <c r="B8" i="2" a="1"/>
  <c r="C8" i="2" s="1"/>
  <c r="B9" i="2" a="1"/>
  <c r="B9" i="2"/>
  <c r="C9" i="2"/>
  <c r="B10" i="2" a="1"/>
  <c r="B10" i="2" s="1"/>
  <c r="B11" i="2" a="1"/>
  <c r="C11" i="2" s="1"/>
  <c r="B12" i="2" a="1"/>
  <c r="C12" i="2" s="1"/>
  <c r="B12" i="2"/>
  <c r="B13" i="2" a="1"/>
  <c r="B13" i="2" s="1"/>
  <c r="C13" i="2"/>
  <c r="B14" i="2" a="1"/>
  <c r="B14" i="2" s="1"/>
  <c r="B15" i="2" a="1"/>
  <c r="C15" i="2" s="1"/>
  <c r="B16" i="2" a="1"/>
  <c r="B16" i="2" s="1"/>
  <c r="B17" i="2" a="1"/>
  <c r="C17" i="2" s="1"/>
  <c r="B18" i="2" a="1"/>
  <c r="B18" i="2" s="1"/>
  <c r="B19" i="2" a="1"/>
  <c r="C19" i="2" s="1"/>
  <c r="B20" i="2" a="1"/>
  <c r="B20" i="2" s="1"/>
  <c r="B21" i="2" a="1"/>
  <c r="C21" i="2" s="1"/>
  <c r="B22" i="2" a="1"/>
  <c r="B22" i="2" s="1"/>
  <c r="B23" i="2" a="1"/>
  <c r="C23" i="2" s="1"/>
  <c r="B24" i="2" a="1"/>
  <c r="B24" i="2"/>
  <c r="C24" i="2"/>
  <c r="B25" i="2" a="1"/>
  <c r="B25" i="2" s="1"/>
  <c r="B26" i="2" a="1"/>
  <c r="B26" i="2" s="1"/>
  <c r="B27" i="2" a="1"/>
  <c r="C27" i="2" s="1"/>
  <c r="B28" i="2" a="1"/>
  <c r="B28" i="2" s="1"/>
  <c r="B29" i="2" a="1"/>
  <c r="B29" i="2" s="1"/>
  <c r="B30" i="2" a="1"/>
  <c r="B30" i="2" s="1"/>
  <c r="B31" i="2" a="1"/>
  <c r="C31" i="2" s="1"/>
  <c r="B32" i="2" a="1"/>
  <c r="B32" i="2"/>
  <c r="C32" i="2"/>
  <c r="B33" i="2" a="1"/>
  <c r="B33" i="2" s="1"/>
  <c r="B34" i="2" a="1"/>
  <c r="B34" i="2" s="1"/>
  <c r="B35" i="2" a="1"/>
  <c r="C35" i="2" s="1"/>
  <c r="B36" i="2" a="1"/>
  <c r="B36" i="2" s="1"/>
  <c r="B37" i="2" a="1"/>
  <c r="C37" i="2" s="1"/>
  <c r="B37" i="2"/>
  <c r="B38" i="2" a="1"/>
  <c r="B38" i="2" s="1"/>
  <c r="B39" i="2" a="1"/>
  <c r="C39" i="2" s="1"/>
  <c r="B39" i="2"/>
  <c r="B40" i="2" a="1"/>
  <c r="C40" i="2" s="1"/>
  <c r="B41" i="2" a="1"/>
  <c r="C41" i="2" s="1"/>
  <c r="B41" i="2"/>
  <c r="B42" i="2" a="1"/>
  <c r="B42" i="2" s="1"/>
  <c r="B43" i="2" a="1"/>
  <c r="C43" i="2" s="1"/>
  <c r="B44" i="2" a="1"/>
  <c r="C44" i="2" s="1"/>
  <c r="B45" i="2" a="1"/>
  <c r="B45" i="2"/>
  <c r="C45" i="2"/>
  <c r="B46" i="2" a="1"/>
  <c r="B46" i="2" s="1"/>
  <c r="B3" i="2" a="1"/>
  <c r="C3" i="2" s="1"/>
  <c r="AY3" i="2"/>
  <c r="B40" i="2" l="1"/>
  <c r="C36" i="2"/>
  <c r="C28" i="2"/>
  <c r="B21" i="2"/>
  <c r="B15" i="2"/>
  <c r="B44" i="2"/>
  <c r="B23" i="2"/>
  <c r="B17" i="2"/>
  <c r="B8" i="2"/>
  <c r="AH10" i="2"/>
  <c r="AH4" i="2"/>
  <c r="C33" i="2"/>
  <c r="C29" i="2"/>
  <c r="C25" i="2"/>
  <c r="C20" i="2"/>
  <c r="C16" i="2"/>
  <c r="B35" i="2"/>
  <c r="AH12" i="2"/>
  <c r="AH7" i="2"/>
  <c r="AH11" i="2"/>
  <c r="AH6" i="2"/>
  <c r="AH9" i="2"/>
  <c r="C46" i="2"/>
  <c r="C42" i="2"/>
  <c r="C38" i="2"/>
  <c r="C34" i="2"/>
  <c r="C30" i="2"/>
  <c r="C26" i="2"/>
  <c r="C22" i="2"/>
  <c r="C18" i="2"/>
  <c r="C14" i="2"/>
  <c r="C10" i="2"/>
  <c r="C6" i="2"/>
  <c r="B4" i="2"/>
  <c r="B31" i="2"/>
  <c r="B27" i="2"/>
  <c r="B19" i="2"/>
  <c r="B11" i="2"/>
  <c r="B43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<sst xmlns="http://schemas.openxmlformats.org/spreadsheetml/2006/main" count="554" uniqueCount="326">
  <si>
    <t>SMSID</t>
  </si>
  <si>
    <t>Name</t>
  </si>
  <si>
    <t>STB</t>
  </si>
  <si>
    <t>VC</t>
  </si>
  <si>
    <t>LCO_Code</t>
  </si>
  <si>
    <t>LCO_Name</t>
  </si>
  <si>
    <t>Distributor_Code</t>
  </si>
  <si>
    <t>Distributor_Name</t>
  </si>
  <si>
    <t>Status</t>
  </si>
  <si>
    <t>LastdeREdate</t>
  </si>
  <si>
    <t>MobileNumber</t>
  </si>
  <si>
    <t>SAF_Number</t>
  </si>
  <si>
    <t>Address</t>
  </si>
  <si>
    <t>Phase</t>
  </si>
  <si>
    <t>Citi Communication(700006)</t>
  </si>
  <si>
    <t>Macwell Marketing Co Pvt Ltd (South Delhi Comm)</t>
  </si>
  <si>
    <t>'</t>
  </si>
  <si>
    <t>Sat Pal</t>
  </si>
  <si>
    <t>06H9BAR42LT00200</t>
  </si>
  <si>
    <t>Om Shree Balalji Media Communication(708017)</t>
  </si>
  <si>
    <t>96/FF  HUMAYUN PUR,NEW DELHI - 110029 DELHI NEW DELHI(INDIA)</t>
  </si>
  <si>
    <t>Satellite Channels P. Ltd(DEL701)</t>
  </si>
  <si>
    <t>SANJAY KUMAR</t>
  </si>
  <si>
    <t>AJIT SINGH</t>
  </si>
  <si>
    <t>M D Cable(711001)</t>
  </si>
  <si>
    <t>M D Cable(DEL711)</t>
  </si>
  <si>
    <t>BHAGWAN DAS</t>
  </si>
  <si>
    <t>06J8BAR49SM17483</t>
  </si>
  <si>
    <t>26,1,st.FLOOR,ARJUN NAGARNEW-DELHINEW DELHI - 110029 DELHI NEW DELHI(INDIA)</t>
  </si>
  <si>
    <t>SANJAY</t>
  </si>
  <si>
    <t>RAJESH KUMAR</t>
  </si>
  <si>
    <t>S.K Cable Network(DEL705)</t>
  </si>
  <si>
    <t>Satnam Singh</t>
  </si>
  <si>
    <t>RAKESH</t>
  </si>
  <si>
    <t>VIKAS</t>
  </si>
  <si>
    <t>SIMRAN ENTERPRISES(701024)</t>
  </si>
  <si>
    <t>Sky Net Cable Network(705029)</t>
  </si>
  <si>
    <t>S.S Communications(DEL702)</t>
  </si>
  <si>
    <t>Air Force Cable TV Network(700017)</t>
  </si>
  <si>
    <t>PRASHANT</t>
  </si>
  <si>
    <t>Tele Video Cable Vision(701044)</t>
  </si>
  <si>
    <t>Classic Vision(710002)</t>
  </si>
  <si>
    <t>'29/03/2011</t>
  </si>
  <si>
    <t>Rukku Cable Network(700004)</t>
  </si>
  <si>
    <t>Double ESS Cable Network(706019)</t>
  </si>
  <si>
    <t>S.R.CABLE(701027)</t>
  </si>
  <si>
    <t>Verma Cable Vision(700019)</t>
  </si>
  <si>
    <t>PADMA VATI</t>
  </si>
  <si>
    <t>SGT SP Yadav</t>
  </si>
  <si>
    <t>06J8BAR49SM11680</t>
  </si>
  <si>
    <t>19 C/1 NWC, AIR FORCE STATION RACE COURSENEW DELHINEW DELHI - 110003 DELHI NEW DELHI(INDIA)</t>
  </si>
  <si>
    <t>Mrs.Ruchi</t>
  </si>
  <si>
    <t>06J8BAR49SM27718</t>
  </si>
  <si>
    <t>E37FFHAUZ KHASNew Delhi</t>
  </si>
  <si>
    <t>AVINASH CHANDER CHAWLA</t>
  </si>
  <si>
    <t>DEVENDRA KUMAR</t>
  </si>
  <si>
    <t>BALVINDER SINGH RANDHA</t>
  </si>
  <si>
    <t>12/227 LODHI COLONYnew delhi</t>
  </si>
  <si>
    <t>ANJU GERA</t>
  </si>
  <si>
    <t>2213ICA2-1036259</t>
  </si>
  <si>
    <t>J4/71 GFLS KHIRKI EXTNNEW DELHI - 110017 DELHI NEW DELHI(INDIA)</t>
  </si>
  <si>
    <t>2213ICA2-1061769</t>
  </si>
  <si>
    <t>BHAGAT DARSHAN SINGH</t>
  </si>
  <si>
    <t>06H9BAR42LT00028</t>
  </si>
  <si>
    <t>476, TYPEIV LAXMI BAI NAGARNEW DELHI - 110023 DELHI NEW DELHI(INDIA)</t>
  </si>
  <si>
    <t>CHHABRA CABLE TV NETWORK(701014)</t>
  </si>
  <si>
    <t>Indu Vision(700002)</t>
  </si>
  <si>
    <t>IMC</t>
  </si>
  <si>
    <t>Channi Cable Waves(701033)</t>
  </si>
  <si>
    <t>Satellite Channels P Ltd</t>
  </si>
  <si>
    <t>RAGHUVEER SINGH</t>
  </si>
  <si>
    <t>06J8BAR49SM13392</t>
  </si>
  <si>
    <t>QTR NO- 140, UTTARAKHAND(SR)JNUNEW DELHI - 110067 DELHI NEW DELHI(INDIA)</t>
  </si>
  <si>
    <t>SUDARSHAN SACHDEV</t>
  </si>
  <si>
    <t>06j8bar49sm27232</t>
  </si>
  <si>
    <t>3/1 IIIRD FLOOR JANGPURA EXTNNEW DELHI - 110014 DELHI NEW DELHI(INDIA)</t>
  </si>
  <si>
    <t>SIDDHARTH BAHAL</t>
  </si>
  <si>
    <t>06J8BAR49SM29743</t>
  </si>
  <si>
    <t>2/8B JUNGPURA</t>
  </si>
  <si>
    <t>06J8BAR49SM33494</t>
  </si>
  <si>
    <t>288,LAXMI BAI NAGARNEW DELHI - 110023 DELHI NEW DELHI(INDIA)</t>
  </si>
  <si>
    <t>06J8BAR49SM34681</t>
  </si>
  <si>
    <t>Recreation Room IISJNUNEW DELHI - 110067 DELHI NEW DELHI(INDIA)</t>
  </si>
  <si>
    <t>06J8BAR49SM34725</t>
  </si>
  <si>
    <t>J-42, Sarojini NagarNEW DELHI - 110023 DELHI NEW DELHI(INDIA)</t>
  </si>
  <si>
    <t>06J8BAR49SM34727</t>
  </si>
  <si>
    <t>C16 FIRST FLOOR JANGPURA B</t>
  </si>
  <si>
    <t>JNAIS</t>
  </si>
  <si>
    <t>D PRASAD</t>
  </si>
  <si>
    <t>0708BAU03SM31087</t>
  </si>
  <si>
    <t>345LAXMI BAI NAGARNEW DELHI - 110023 DELHI NEW DELHI(INDIA)</t>
  </si>
  <si>
    <t>ABC Cable Network(701001)</t>
  </si>
  <si>
    <t>M P SETHY</t>
  </si>
  <si>
    <t>0773BAU27DS27547</t>
  </si>
  <si>
    <t>DII/52 WEST KIDWAI NAGARNEW DELHI - 110023 DELHI NEW DELHI(INDIA)</t>
  </si>
  <si>
    <t>2213ICA2-1022226</t>
  </si>
  <si>
    <t>Q20BIST FLOOR</t>
  </si>
  <si>
    <t>RAGHVENDRA</t>
  </si>
  <si>
    <t>2213ICA2-1033156</t>
  </si>
  <si>
    <t>FLAT NO. 96/5 SEC-1 PUSHP VIHAR</t>
  </si>
  <si>
    <t>2213ICA2-1033581</t>
  </si>
  <si>
    <t>C3 TYPEIII WEST KIDWAI NAGARNEW DELHI - 110023 DELHI NEW DELHI(INDIA)</t>
  </si>
  <si>
    <t>ASHOK KUMAR SINGH</t>
  </si>
  <si>
    <t>IMTIYAZ AHMAD WAJA</t>
  </si>
  <si>
    <t>2213ICA2-1082314</t>
  </si>
  <si>
    <t>5/29 1ST FLOOR JANGPURA B</t>
  </si>
  <si>
    <t>D.S.Rawat</t>
  </si>
  <si>
    <t>2213ICA2-1124419</t>
  </si>
  <si>
    <t>QTR NO-26,DP JNUNEW DELHI - 110067 DELHI NEW DELHI(INDIA)</t>
  </si>
  <si>
    <t>Vicky Cable TV(701005)</t>
  </si>
  <si>
    <t>WORLD VISION(701026)</t>
  </si>
  <si>
    <t>A V Cable Network (Badarpur)(702030)</t>
  </si>
  <si>
    <t>KAPIL SADH</t>
  </si>
  <si>
    <t>SURESH RAMANI</t>
  </si>
  <si>
    <t>G. S. BAIDI</t>
  </si>
  <si>
    <t>06J8BAR49SM32647</t>
  </si>
  <si>
    <t>L 31 S FLR LAJPAT NGR II</t>
  </si>
  <si>
    <t>0708BAU03SM31084</t>
  </si>
  <si>
    <t>1493 LAXMI BAI NAGARNEW DELHI - 110044 DELHI NEW DELHI(INDIA)</t>
  </si>
  <si>
    <t>0718BAU02DS17420</t>
  </si>
  <si>
    <t>A33 IST FLOOR LAJPAT NAGAR I</t>
  </si>
  <si>
    <t>2213ICA2-1000055</t>
  </si>
  <si>
    <t>I35SECOND FLOOR LAJPAT NAGERI</t>
  </si>
  <si>
    <t>2213ICA2-1001730</t>
  </si>
  <si>
    <t>2B13 2ND FLR LAJPAT NAGAR1</t>
  </si>
  <si>
    <t>KRAISHAN</t>
  </si>
  <si>
    <t>2213ICA2-1122828</t>
  </si>
  <si>
    <t>S70/80 JAL VIHAR</t>
  </si>
  <si>
    <t>SURAJIT DUTTA</t>
  </si>
  <si>
    <t>'02/05/2013</t>
  </si>
  <si>
    <t>06J8BAR49SM34572</t>
  </si>
  <si>
    <t>B16 2ND FLOOR EAST OF KAILASH</t>
  </si>
  <si>
    <t>SHARMALA KUMAR</t>
  </si>
  <si>
    <t>06J8BAR49SM34669</t>
  </si>
  <si>
    <t>A6 3RD FLOOR EAST OF KAILASH</t>
  </si>
  <si>
    <t>06J8BAR49SM34670</t>
  </si>
  <si>
    <t>G39A G/F BACKSIDE EAST OF KAIALSH</t>
  </si>
  <si>
    <t>MAANAS</t>
  </si>
  <si>
    <t>06J8BAR49SM34693</t>
  </si>
  <si>
    <t>39F GALI No5 APB GARHI NEW DELHINEW DELHI - 110065 DELHI NEW DELHI(INDIA)</t>
  </si>
  <si>
    <t>'07/03/2013</t>
  </si>
  <si>
    <t>'17/01/2013</t>
  </si>
  <si>
    <t>'22/12/2012</t>
  </si>
  <si>
    <t>'19/02/2013</t>
  </si>
  <si>
    <t>'26/02/2013</t>
  </si>
  <si>
    <t>'05/05/2013</t>
  </si>
  <si>
    <t>'26/08/2013</t>
  </si>
  <si>
    <t>'04/04/2013</t>
  </si>
  <si>
    <t>'02/09/2013</t>
  </si>
  <si>
    <t>SHARDA KHANNA</t>
  </si>
  <si>
    <t>2213ICA2-1002492</t>
  </si>
  <si>
    <t>16A SFS DDA FLATS BLOCKB EAST OF KAILASH</t>
  </si>
  <si>
    <t>'03/10/2013</t>
  </si>
  <si>
    <t>2213iCA2-1123223</t>
  </si>
  <si>
    <t>B21 EAST OF KAILASHNEW DELHI - 110065 DELHI NEW DELHI-INDIA</t>
  </si>
  <si>
    <t xml:space="preserve">DR.HARGYAN SINGH </t>
  </si>
  <si>
    <t>06J8BAR49SM34672</t>
  </si>
  <si>
    <t>B162 EAST OK KAILASH</t>
  </si>
  <si>
    <t>0718BAU02DS10867</t>
  </si>
  <si>
    <t>H.N0.3  F.F.ARJUN NGR.NEW DELHI - 110016 DELHI NEW DELHI-INDIA</t>
  </si>
  <si>
    <t>MAHAK ARORA</t>
  </si>
  <si>
    <t>2213ICA2-1004949</t>
  </si>
  <si>
    <t>39 GROUND FLOORARJUN NAGAR</t>
  </si>
  <si>
    <t>06J8BAR49SM34675</t>
  </si>
  <si>
    <t xml:space="preserve">ROOM NO 106JNUNEW DELHI </t>
  </si>
  <si>
    <t>2213ICA2-1110436</t>
  </si>
  <si>
    <t>1515LAXMIBAI NAGARNEW DELHINEW DELHI - 110044 DELHI NEW DELHI-INDIA</t>
  </si>
  <si>
    <t>VIJAY SHARAN MATHUR</t>
  </si>
  <si>
    <t>06J8BAR49SM34657</t>
  </si>
  <si>
    <t>249  Laxmi Bai NagarNEW DELHI - 110023 DELHI NEW DELHI-INDIA</t>
  </si>
  <si>
    <t xml:space="preserve">SHRI CHAND </t>
  </si>
  <si>
    <t>2213ICA2-1110668</t>
  </si>
  <si>
    <t>C197 PAL PRALADPUR</t>
  </si>
  <si>
    <t>06J8BAR49SM34703</t>
  </si>
  <si>
    <t>4/27GF NEHRU NAGARNEW DELHI - 110065 DELHI NEW DELHI-INDIA</t>
  </si>
  <si>
    <t>AKHILESH MISHRA</t>
  </si>
  <si>
    <t>06J8BAR49SM32573</t>
  </si>
  <si>
    <t>Mini Cable Darshan(709002)</t>
  </si>
  <si>
    <t>H16/271 SANGAM VIHAR</t>
  </si>
  <si>
    <t>ANIL SHREENIVASAN</t>
  </si>
  <si>
    <t>0707BAU02SM15383</t>
  </si>
  <si>
    <t>E107 SF  Lajpat Nagar</t>
  </si>
  <si>
    <t>06J8BAR49SM35356</t>
  </si>
  <si>
    <t>I35SECOND FLOOR</t>
  </si>
  <si>
    <t>Count of Status 1</t>
  </si>
  <si>
    <t>Count of Status 2</t>
  </si>
  <si>
    <t>STB  &amp;  VC</t>
  </si>
  <si>
    <t>83222|06H9BAR42LT00028|1760105267|3159|M D Cable(711001)|330|M D Cable(DEL711)</t>
  </si>
  <si>
    <t>83340|06H9BAR42LT00200|1760347043|3146|Om Shree Balalji Media Communication(708017)|325|Macwell Marketing Co Pvt Ltd (South Delhi Comm)</t>
  </si>
  <si>
    <t>83540|2213ICA2-1036259|1760420917|3155|Classic Vision(710002)|324|S.K Cable Network(DEL705)</t>
  </si>
  <si>
    <t>83541|06J8BAR49SM11680|1760465717|2887|Air Force Cable TV Network(700017)|325|Macwell Marketing Co Pvt Ltd (South Delhi Comm)</t>
  </si>
  <si>
    <t>83764|06J8BAR49SM32573|1760344903|3149|Mini Cable Darshan(709002)|324|S.K Cable Network(DEL705)</t>
  </si>
  <si>
    <t>83811|06J8BAR49SM32647|1760347846|4757|Satellite Channels P Ltd|320|Satellite Channels P. Ltd(DEL701)</t>
  </si>
  <si>
    <t>84077|0718BAU02DS10867|1760447627|2876|Citi Communication(700006)|325|Macwell Marketing Co Pvt Ltd (South Delhi Comm)</t>
  </si>
  <si>
    <t>84131|2213ICA2-1033156|1761333827|4300|Sky Net Cable Network(705029)|324|S.K Cable Network(DEL705)</t>
  </si>
  <si>
    <t>84259|06j8bar49sm27232|1760134838|2933|Channi Cable Waves(701033)|320|Satellite Channels P. Ltd(DEL701)</t>
  </si>
  <si>
    <t>84389|0773BAU27DS27547|1760203666|3159|M D Cable(711001)|330|M D Cable(DEL711)</t>
  </si>
  <si>
    <t>84390|2213ICA2-1033581|1760597792|3159|M D Cable(711001)|330|M D Cable(DEL711)</t>
  </si>
  <si>
    <t>84392|06J8BAR49SM33494|1760344576|3159|M D Cable(711001)|330|M D Cable(DEL711)</t>
  </si>
  <si>
    <t>84393|0708BAU03SM31087|1760421982|3159|M D Cable(711001)|330|M D Cable(DEL711)</t>
  </si>
  <si>
    <t>84721|2213ICA2-1022226|1760570248|2924|SIMRAN ENTERPRISES(701024)|320|Satellite Channels P. Ltd(DEL701)</t>
  </si>
  <si>
    <t>84743|2213iCA2-1123223|1760660851|2901|ABC Cable Network(701001)|320|Satellite Channels P. Ltd(DEL701)</t>
  </si>
  <si>
    <t>84992|2213ICA2-1124419|1760348286|2869|Indu Vision(700002)|325|Macwell Marketing Co Pvt Ltd (South Delhi Comm)</t>
  </si>
  <si>
    <t>85098|06J8BAR49SM34572|1760015213|2926|WORLD VISION(701026)|320|Satellite Channels P. Ltd(DEL701)</t>
  </si>
  <si>
    <t>85149|0707BAU02SM15383|1760192281|4757|Satellite Channels P Ltd|320|Satellite Channels P. Ltd(DEL701)</t>
  </si>
  <si>
    <t>85151|2213ICA2-1000055|1760669008|4757|Satellite Channels P Ltd|320|Satellite Channels P. Ltd(DEL701)</t>
  </si>
  <si>
    <t>85152|06J8BAR49SM35356|1760229817|4757|Satellite Channels P Ltd|320|Satellite Channels P. Ltd(DEL701)</t>
  </si>
  <si>
    <t>85153|0708BAU03SM31084|1760404711|3159|M D Cable(711001)|330|M D Cable(DEL711)</t>
  </si>
  <si>
    <t>85154|06J8BAR49SM34657|1760128542|3159|M D Cable(711001)|330|M D Cable(DEL711)</t>
  </si>
  <si>
    <t>85156|2213ICA2-1110436|1760650606|3159|M D Cable(711001)|330|M D Cable(DEL711)</t>
  </si>
  <si>
    <t>85157|0718BAU02DS17420|1760048507|4757|Satellite Channels P Ltd|320|Satellite Channels P. Ltd(DEL701)</t>
  </si>
  <si>
    <t>85158|2213ICA2-1001730|1760136613|4757|Satellite Channels P Ltd|320|Satellite Channels P. Ltd(DEL701)</t>
  </si>
  <si>
    <t>85161|06J8BAR49SM34669|1760127674|2926|WORLD VISION(701026)|320|Satellite Channels P. Ltd(DEL701)</t>
  </si>
  <si>
    <t>85162|06J8BAR49SM34670|1760127675|2926|WORLD VISION(701026)|320|Satellite Channels P. Ltd(DEL701)</t>
  </si>
  <si>
    <t>85163|06J8BAR49SM34672|1760386185|2901|ABC Cable Network(701001)|320|Satellite Channels P. Ltd(DEL701)</t>
  </si>
  <si>
    <t>85165|06J8BAR49SM13392|1760484650|2869|Indu Vision(700002)|325|Macwell Marketing Co Pvt Ltd (South Delhi Comm)</t>
  </si>
  <si>
    <t>85166|06J8BAR49SM34675|1760127445|2869|Indu Vision(700002)|325|Macwell Marketing Co Pvt Ltd (South Delhi Comm)</t>
  </si>
  <si>
    <t>85167|06J8BAR49SM34681|1760132276|2869|Indu Vision(700002)|325|Macwell Marketing Co Pvt Ltd (South Delhi Comm)</t>
  </si>
  <si>
    <t>85171|2213ICA2-1110668|1760347266|2986|A V Cable Network (Badarpur)(702030)|321|S.S Communications(DEL702)</t>
  </si>
  <si>
    <t>85172|06J8BAR49SM34693|1760128608|2905|Vicky Cable TV(701005)|320|Satellite Channels P. Ltd(DEL701)</t>
  </si>
  <si>
    <t>85174|06J8BAR49SM17483|1760142477|2876|Citi Communication(700006)|325|Macwell Marketing Co Pvt Ltd (South Delhi Comm)</t>
  </si>
  <si>
    <t>85175|2213ICA2-1004949|1740013626|2876|Citi Communication(700006)|325|Macwell Marketing Co Pvt Ltd (South Delhi Comm)</t>
  </si>
  <si>
    <t>85176|06J8BAR49SM34703|1760127503|2944|Tele Video Cable Vision(701044)|320|Satellite Channels P. Ltd(DEL701)</t>
  </si>
  <si>
    <t>85177|2213ICA2-1122828|1760228184|2944|Tele Video Cable Vision(701044)|320|Satellite Channels P. Ltd(DEL701)</t>
  </si>
  <si>
    <t>85179|06J8BAR49SM27718|1760483879|2873|Rukku Cable Network(700004)|325|Macwell Marketing Co Pvt Ltd (South Delhi Comm)</t>
  </si>
  <si>
    <t>85180|2213ICA2-1061769|1760220707|2889|Verma Cable Vision(700019)|325|Macwell Marketing Co Pvt Ltd (South Delhi Comm)</t>
  </si>
  <si>
    <t>85187|06J8BAR49SM34725|1760035330|3105|Double ESS Cable Network(706019)|325|Macwell Marketing Co Pvt Ltd (South Delhi Comm)</t>
  </si>
  <si>
    <t>85188|2213ICA2-1082314|1760650941|2927|S.R.CABLE(701027)|320|Satellite Channels P. Ltd(DEL701)</t>
  </si>
  <si>
    <t>85189|06J8BAR49SM34727|1760127177|2927|S.R.CABLE(701027)|320|Satellite Channels P. Ltd(DEL701)</t>
  </si>
  <si>
    <t>85190|2213ICA2-1002492|1760138155|2901|ABC Cable Network(701001)|320|Satellite Channels P. Ltd(DEL701)</t>
  </si>
  <si>
    <t>85194|06J8BAR49SM29743|1760650746|2914|CHHABRA CABLE TV NETWORK(701014)|320|Satellite Channels P. Ltd(DEL701)</t>
  </si>
  <si>
    <t>Marketing</t>
  </si>
  <si>
    <t>Communication</t>
  </si>
  <si>
    <t>ashish32cab1232le id</t>
  </si>
  <si>
    <t>ashish12ca32ble id</t>
  </si>
  <si>
    <t>as12hish321cable id</t>
  </si>
  <si>
    <t>ashish23ca1112ble id</t>
  </si>
  <si>
    <t>ashish321ca23ble id</t>
  </si>
  <si>
    <t>ashish2cab23le id()</t>
  </si>
  <si>
    <t>ashish13c321able id()</t>
  </si>
  <si>
    <t>ashi123sh cab123le id()</t>
  </si>
  <si>
    <t>ashish ()cable id()</t>
  </si>
  <si>
    <t>2. Get mentined details by using Hlookup thru SMS ID</t>
  </si>
  <si>
    <t>11. Count number of "a" in below Cell</t>
  </si>
  <si>
    <t xml:space="preserve">6. Replace the New Delhi with blank from below table   </t>
  </si>
  <si>
    <t xml:space="preserve">8. Remove number 1,2,3 and parenthesis (only alphabets should be left)   </t>
  </si>
  <si>
    <t>10. Convert in TEXT formate</t>
  </si>
  <si>
    <t>476, TYPEIV LAXMI BAI NAGARNew Delhi - 110023 DELHI New Delhi(INDIA)</t>
  </si>
  <si>
    <t>96/FF  HUMAYUN PUR,New Delhi - 110029 DELHI New Delhi(INDIA)</t>
  </si>
  <si>
    <t>J4/71 GFLS KHIRKI EXTNNew Delhi - 110017 DELHI New Delhi(INDIA)</t>
  </si>
  <si>
    <t>19 C/1 NWC, AIR FORCE STATION RACE COURSENew DelhiNew Delhi - 110003 DELHI New Delhi(INDIA)</t>
  </si>
  <si>
    <t>H.N0.3  F.F.ARJUN NGR.New Delhi - 110016 DELHI New Delhi-INDIA</t>
  </si>
  <si>
    <t>3/1 IIIRD FLOOR JANGPURA EXTNNew Delhi - 110014 DELHI New Delhi(INDIA)</t>
  </si>
  <si>
    <t>DII/52 WEST KIDWAI NAGARNew Delhi - 110023 DELHI New Delhi(INDIA)</t>
  </si>
  <si>
    <t>C3 TYPEIII WEST KIDWAI NAGARNew Delhi - 110023 DELHI New Delhi(INDIA)</t>
  </si>
  <si>
    <t>288,LAXMI BAI NAGARNew Delhi - 110023 DELHI New Delhi(INDIA)</t>
  </si>
  <si>
    <t>345LAXMI BAI NAGARNew Delhi - 110023 DELHI New Delhi(INDIA)</t>
  </si>
  <si>
    <t>B21 EAST OF KAILASHNew Delhi - 110065 DELHI New Delhi-INDIA</t>
  </si>
  <si>
    <t>QTR NO-26,DP JNUNew Delhi - 110067 DELHI New Delhi(INDIA)</t>
  </si>
  <si>
    <t>1493 LAXMI BAI NAGARNew Delhi - 110044 DELHI New Delhi(INDIA)</t>
  </si>
  <si>
    <t>249  Laxmi Bai NagarNew Delhi - 110023 DELHI New Delhi-INDIA</t>
  </si>
  <si>
    <t>1515LAXMIBAI NAGARNew DelhiNew Delhi - 110044 DELHI New Delhi-INDIA</t>
  </si>
  <si>
    <t>QTR NO- 140, UTTARAKHAND(SR)JNUNew Delhi - 110067 DELHI New Delhi(INDIA)</t>
  </si>
  <si>
    <t xml:space="preserve">ROOM NO 106JNUNew Delhi </t>
  </si>
  <si>
    <t>Recreation Room IISJNUNew Delhi - 110067 DELHI New Delhi(INDIA)</t>
  </si>
  <si>
    <t>39F GALI No5 APB GARHI New DelhiNew Delhi - 110065 DELHI New Delhi(INDIA)</t>
  </si>
  <si>
    <t>26,1,st.FLOOR,ARJUN NAGARNEW-DELHINew Delhi - 110029 DELHI New Delhi(INDIA)</t>
  </si>
  <si>
    <t>4/27GF NEHRU NAGARNew Delhi - 110065 DELHI New Delhi-INDIA</t>
  </si>
  <si>
    <t>12/227 LODHI COLONYNew Delhi</t>
  </si>
  <si>
    <t>J-42, Sarojini NagarNew Delhi - 110023 DELHI New Delhi(INDIA)</t>
  </si>
  <si>
    <t>06H9BAR42LT00028   1760105267</t>
  </si>
  <si>
    <t>06H9BAR42LT00200   1760347043</t>
  </si>
  <si>
    <t>2213ICA2-1036259   1760420917</t>
  </si>
  <si>
    <t>06J8BAR49SM11680   1760465717</t>
  </si>
  <si>
    <t>06J8BAR49SM32573   1760344903</t>
  </si>
  <si>
    <t>06J8BAR49SM32647   1760347846</t>
  </si>
  <si>
    <t>0718BAU02DS10867   1760447627</t>
  </si>
  <si>
    <t>2213ICA2-1033156   1761333827</t>
  </si>
  <si>
    <t>06j8bar49sm27232   1760134838</t>
  </si>
  <si>
    <t>0773BAU27DS27547   1760203666</t>
  </si>
  <si>
    <t>2213ICA2-1033581   1760597792</t>
  </si>
  <si>
    <t>06J8BAR49SM33494   1760344576</t>
  </si>
  <si>
    <t>0708BAU03SM31087   1760421982</t>
  </si>
  <si>
    <t>2213ICA2-1022226   1760570248</t>
  </si>
  <si>
    <t>2213iCA2-1123223   1760660851</t>
  </si>
  <si>
    <t>2213ICA2-1124419   1760348286</t>
  </si>
  <si>
    <t>06J8BAR49SM34572   1760015213</t>
  </si>
  <si>
    <t>0707BAU02SM15383   1760192281</t>
  </si>
  <si>
    <t>2213ICA2-1000055   1760669008</t>
  </si>
  <si>
    <t>06J8BAR49SM35356   1760229817</t>
  </si>
  <si>
    <t>0708BAU03SM31084   1760404711</t>
  </si>
  <si>
    <t>06J8BAR49SM34657   1760128542</t>
  </si>
  <si>
    <t>2213ICA2-1110436   1760650606</t>
  </si>
  <si>
    <t>0718BAU02DS17420   1760048507</t>
  </si>
  <si>
    <t>2213ICA2-1001730   1760136613</t>
  </si>
  <si>
    <t>06J8BAR49SM34669   1760127674</t>
  </si>
  <si>
    <t>06J8BAR49SM34670   1760127675</t>
  </si>
  <si>
    <t>06J8BAR49SM34672   1760386185</t>
  </si>
  <si>
    <t>06J8BAR49SM13392   1760484650</t>
  </si>
  <si>
    <t>06J8BAR49SM34675   1760127445</t>
  </si>
  <si>
    <t>06J8BAR49SM34681   1760132276</t>
  </si>
  <si>
    <t>2213ICA2-1110668   1760347266</t>
  </si>
  <si>
    <t>06J8BAR49SM34693   1760128608</t>
  </si>
  <si>
    <t>06J8BAR49SM17483   1760142477</t>
  </si>
  <si>
    <t>2213ICA2-1004949   1740013626</t>
  </si>
  <si>
    <t>06J8BAR49SM34703   1760127503</t>
  </si>
  <si>
    <t>2213ICA2-1122828   1760228184</t>
  </si>
  <si>
    <t>06J8BAR49SM27718   1760483879</t>
  </si>
  <si>
    <t>2213ICA2-1061769   1760220707</t>
  </si>
  <si>
    <t>06J8BAR49SM34725   1760035330</t>
  </si>
  <si>
    <t>2213ICA2-1082314   1760650941</t>
  </si>
  <si>
    <t>06J8BAR49SM34727   1760127177</t>
  </si>
  <si>
    <t>2213ICA2-1002492   1760138155</t>
  </si>
  <si>
    <t>06J8BAR49SM29743   1760650746</t>
  </si>
  <si>
    <t>Marketing 325 Communication</t>
  </si>
  <si>
    <t>1. Get the Distributor_Name &amp; Status from Active List  using Vlookup</t>
  </si>
  <si>
    <t>7.Join all the rows in one Cell   without using concatenate</t>
  </si>
  <si>
    <t>12. Separate given below table on the basis of used delimiter("|") using formula OR without formula</t>
  </si>
  <si>
    <t xml:space="preserve">3. Get the SMSID &amp; Name from Active List(without using vlookup &amp; hlookup)  </t>
  </si>
  <si>
    <t>anilcable id</t>
  </si>
  <si>
    <t>anil13 cab12le id()</t>
  </si>
  <si>
    <t>4. Find the count of Status As per given table  Dynamic</t>
  </si>
  <si>
    <t>a2nil1cabl3e id()</t>
  </si>
  <si>
    <t xml:space="preserve">5. Separate the STB and VC as per given below table and also put the 0 before the VC No   </t>
  </si>
  <si>
    <t>aaaaabceaeaacdfik</t>
  </si>
  <si>
    <t>9. Arrange and paste all VC's from row to column  using function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</si>
</sst>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/>
    <xf numFmtId="0" fontId="14" fillId="0" borderId="0" xfId="0" applyFont="1"/>
    <xf numFmtId="0" fontId="0" fillId="33" borderId="10" xfId="0" applyFill="1" applyBorder="1"/>
    <xf numFmtId="0" fontId="0" fillId="35" borderId="0" xfId="0" applyFill="1"/>
    <xf numFmtId="0" fontId="18" fillId="35" borderId="0" xfId="0" applyFont="1" applyFill="1"/>
    <xf numFmtId="0" fontId="16" fillId="35" borderId="0" xfId="0" applyFont="1" applyFill="1"/>
    <xf numFmtId="0" fontId="18" fillId="0" borderId="10" xfId="0" applyFont="1" applyBorder="1"/>
    <xf numFmtId="0" fontId="18" fillId="0" borderId="0" xfId="0" applyFont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wrapText="1"/>
    </xf>
    <xf numFmtId="0" fontId="16" fillId="0" borderId="14" xfId="0" applyFont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3" fillId="36" borderId="10" xfId="0" applyFont="1" applyFill="1" applyBorder="1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left" vertical="top"/>
    </xf>
    <xf numFmtId="0" fontId="19" fillId="0" borderId="14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4" xfId="0" quotePrefix="1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6"/>
  <sheetViews>
    <sheetView showGridLines="0" tabSelected="1" topLeftCell="H1" zoomScale="86" zoomScaleNormal="115" workbookViewId="0">
      <selection activeCell="P4" sqref="P4"/>
    </sheetView>
  </sheetViews>
  <sheetFormatPr defaultRowHeight="14.4" x14ac:dyDescent="0.3"/>
  <cols>
    <col min="1" max="1" width="18.6640625" bestFit="1" customWidth="1"/>
    <col min="2" max="2" width="46.5546875" customWidth="1"/>
    <col min="3" max="3" width="15.6640625" customWidth="1"/>
    <col min="4" max="4" width="1.88671875" customWidth="1"/>
    <col min="5" max="5" width="9.109375" customWidth="1"/>
    <col min="6" max="6" width="23.88671875" customWidth="1"/>
    <col min="7" max="7" width="19.33203125" customWidth="1"/>
    <col min="8" max="8" width="14.5546875" customWidth="1"/>
    <col min="9" max="9" width="0.88671875" customWidth="1"/>
    <col min="10" max="10" width="1" customWidth="1"/>
    <col min="11" max="11" width="38.6640625" bestFit="1" customWidth="1"/>
    <col min="12" max="12" width="13.109375" customWidth="1"/>
    <col min="13" max="13" width="23.88671875" customWidth="1"/>
    <col min="14" max="14" width="1.6640625" style="8" customWidth="1"/>
    <col min="15" max="15" width="46.5546875" bestFit="1" customWidth="1"/>
    <col min="16" max="17" width="16" bestFit="1" customWidth="1"/>
    <col min="19" max="19" width="60.33203125" customWidth="1"/>
    <col min="20" max="21" width="20.6640625" customWidth="1"/>
    <col min="22" max="22" width="5.33203125" customWidth="1"/>
    <col min="23" max="23" width="56" bestFit="1" customWidth="1"/>
    <col min="24" max="24" width="63.88671875" bestFit="1" customWidth="1"/>
    <col min="25" max="25" width="2.109375" customWidth="1"/>
    <col min="26" max="26" width="27.33203125" bestFit="1" customWidth="1"/>
    <col min="27" max="28" width="15.109375" bestFit="1" customWidth="1"/>
    <col min="29" max="29" width="33" customWidth="1"/>
    <col min="30" max="30" width="0.5546875" customWidth="1"/>
    <col min="31" max="31" width="33.88671875" customWidth="1"/>
    <col min="32" max="32" width="20.44140625" bestFit="1" customWidth="1"/>
    <col min="33" max="33" width="0.88671875" customWidth="1"/>
    <col min="34" max="34" width="12.6640625" customWidth="1"/>
    <col min="35" max="35" width="12.109375" customWidth="1"/>
    <col min="36" max="36" width="14" customWidth="1"/>
    <col min="37" max="37" width="16.5546875" customWidth="1"/>
    <col min="38" max="38" width="14.33203125" customWidth="1"/>
    <col min="39" max="39" width="10.5546875" customWidth="1"/>
    <col min="40" max="40" width="10.109375" customWidth="1"/>
    <col min="41" max="41" width="12.109375" customWidth="1"/>
    <col min="42" max="42" width="12.33203125" customWidth="1"/>
    <col min="43" max="43" width="2.88671875" customWidth="1"/>
    <col min="44" max="44" width="26.33203125" customWidth="1"/>
    <col min="45" max="45" width="18.5546875" customWidth="1"/>
    <col min="46" max="47" width="9.109375" customWidth="1"/>
    <col min="49" max="49" width="28.88671875" bestFit="1" customWidth="1"/>
    <col min="50" max="50" width="2.33203125" customWidth="1"/>
    <col min="53" max="53" width="0" hidden="1" customWidth="1"/>
    <col min="54" max="54" width="59.5546875" hidden="1" customWidth="1"/>
    <col min="55" max="55" width="26.5546875" hidden="1" customWidth="1"/>
    <col min="57" max="57" width="19.88671875" bestFit="1" customWidth="1"/>
    <col min="58" max="58" width="21.33203125" customWidth="1"/>
  </cols>
  <sheetData>
    <row r="1" spans="1:56" s="5" customFormat="1" ht="33.75" customHeight="1" x14ac:dyDescent="0.3">
      <c r="A1" s="29" t="s">
        <v>315</v>
      </c>
      <c r="B1" s="29"/>
      <c r="C1" s="29"/>
      <c r="E1" s="29" t="s">
        <v>242</v>
      </c>
      <c r="F1" s="29"/>
      <c r="G1" s="29"/>
      <c r="H1" s="29"/>
      <c r="I1" s="29"/>
      <c r="K1" s="29" t="s">
        <v>318</v>
      </c>
      <c r="L1" s="29"/>
      <c r="M1" s="29"/>
      <c r="N1" s="9"/>
      <c r="O1" s="30" t="s">
        <v>321</v>
      </c>
      <c r="P1" s="31"/>
      <c r="Q1" s="32"/>
      <c r="S1" s="33" t="s">
        <v>323</v>
      </c>
      <c r="T1" s="33"/>
      <c r="U1" s="33"/>
      <c r="V1" s="6"/>
      <c r="W1" s="38" t="s">
        <v>244</v>
      </c>
      <c r="X1" s="39"/>
      <c r="Z1" s="28" t="s">
        <v>316</v>
      </c>
      <c r="AA1" s="28"/>
      <c r="AB1" s="28"/>
      <c r="AC1" s="28"/>
      <c r="AE1" s="36" t="s">
        <v>245</v>
      </c>
      <c r="AF1" s="37"/>
      <c r="AH1" s="29" t="s">
        <v>325</v>
      </c>
      <c r="AI1" s="29"/>
      <c r="AJ1" s="29"/>
      <c r="AK1" s="29"/>
      <c r="AL1" s="29"/>
      <c r="AM1" s="29"/>
      <c r="AN1" s="29"/>
      <c r="AO1" s="29"/>
      <c r="AP1" s="29"/>
      <c r="AR1" s="34" t="s">
        <v>246</v>
      </c>
      <c r="AS1" s="35"/>
      <c r="AT1"/>
      <c r="AU1"/>
      <c r="AW1" s="28" t="s">
        <v>243</v>
      </c>
      <c r="AX1" s="28"/>
      <c r="AY1" s="28"/>
      <c r="AZ1" s="28"/>
      <c r="BA1" s="12"/>
      <c r="BB1" s="11" t="s">
        <v>317</v>
      </c>
    </row>
    <row r="2" spans="1:56" x14ac:dyDescent="0.3">
      <c r="A2" s="2" t="s">
        <v>2</v>
      </c>
      <c r="B2" s="2" t="s">
        <v>7</v>
      </c>
      <c r="C2" s="2" t="s">
        <v>8</v>
      </c>
      <c r="E2" s="15" t="s">
        <v>0</v>
      </c>
      <c r="F2" s="15" t="s">
        <v>1</v>
      </c>
      <c r="G2" s="15" t="s">
        <v>2</v>
      </c>
      <c r="H2" s="15" t="s">
        <v>3</v>
      </c>
      <c r="K2" s="17" t="s">
        <v>2</v>
      </c>
      <c r="L2" s="17" t="s">
        <v>0</v>
      </c>
      <c r="M2" s="17" t="s">
        <v>1</v>
      </c>
      <c r="N2" s="10"/>
      <c r="O2" s="17" t="s">
        <v>7</v>
      </c>
      <c r="P2" s="17" t="s">
        <v>184</v>
      </c>
      <c r="Q2" s="17" t="s">
        <v>185</v>
      </c>
      <c r="S2" s="4" t="s">
        <v>186</v>
      </c>
      <c r="T2" s="4" t="s">
        <v>2</v>
      </c>
      <c r="U2" s="4" t="s">
        <v>3</v>
      </c>
      <c r="W2" s="2" t="s">
        <v>12</v>
      </c>
      <c r="X2" s="2" t="s">
        <v>12</v>
      </c>
      <c r="Z2" s="13" t="s">
        <v>231</v>
      </c>
      <c r="AA2" s="13">
        <v>325</v>
      </c>
      <c r="AB2" s="13" t="s">
        <v>232</v>
      </c>
      <c r="AC2" s="23" t="s">
        <v>314</v>
      </c>
      <c r="AE2" s="1" t="s">
        <v>320</v>
      </c>
      <c r="AF2" s="19" t="s">
        <v>319</v>
      </c>
      <c r="AH2" s="1">
        <v>1760105267</v>
      </c>
      <c r="AI2" s="1">
        <v>1760347043</v>
      </c>
      <c r="AJ2" s="1">
        <v>1760420917</v>
      </c>
      <c r="AK2" s="1">
        <v>1753366575</v>
      </c>
      <c r="AL2" s="1">
        <v>1760344903</v>
      </c>
      <c r="AM2" s="1">
        <v>1760347846</v>
      </c>
      <c r="AN2" s="1">
        <v>1760134838</v>
      </c>
      <c r="AO2" s="1">
        <v>1760203666</v>
      </c>
      <c r="AP2" s="1">
        <v>1760597792</v>
      </c>
      <c r="AR2" s="25">
        <v>7783274</v>
      </c>
      <c r="AS2" s="27" t="str">
        <f>FIXED(AR2)</f>
        <v>7,783,274.00</v>
      </c>
      <c r="BB2" s="14" t="s">
        <v>0</v>
      </c>
    </row>
    <row r="3" spans="1:56" ht="28.8" x14ac:dyDescent="0.3">
      <c r="A3" s="1" t="s">
        <v>63</v>
      </c>
      <c r="B3" s="7" t="str">
        <f t="array" ref="B3:C3">VLOOKUP(A3,'Active List'!C:I,{6,7},0)</f>
        <v>M D Cable(DEL711)</v>
      </c>
      <c r="C3" s="7">
        <v>1</v>
      </c>
      <c r="E3" s="13">
        <v>83222</v>
      </c>
      <c r="F3" s="16" t="str" cm="1">
        <f t="array" ref="F3">HLOOKUP(E3,TRANSPOSE('Active List'!$A:$D),2,0)</f>
        <v>BHAGAT DARSHAN SINGH</v>
      </c>
      <c r="G3" s="16" t="e" cm="1">
        <f t="array" ref="G3">HLOOKUP(F3,TRANSPOSE('Active List'!$A:$B),{2,3,4},0)</f>
        <v>#N/A</v>
      </c>
      <c r="H3" s="16" t="e" cm="1">
        <f t="array" ref="H3">HLOOKUP(G3,TRANSPOSE('Active List'!$A:$B),{2,3,4},0)</f>
        <v>#N/A</v>
      </c>
      <c r="K3" s="17" t="s">
        <v>63</v>
      </c>
      <c r="L3" s="18">
        <f>INDEX('Active List'!A:A,MATCH(Sheet1!K3,'Active List'!C:C,0))</f>
        <v>83222</v>
      </c>
      <c r="M3" s="18"/>
      <c r="O3" s="13" t="s">
        <v>25</v>
      </c>
      <c r="P3" s="16">
        <f>COUNTIFS('Active List'!H:H,Sheet1!O3,'Active List'!I:I,1)</f>
        <v>6</v>
      </c>
      <c r="Q3" s="16">
        <f>COUNTIFS('Active List'!H:H,Sheet1!O3,'Active List'!I:I,2)</f>
        <v>2</v>
      </c>
      <c r="S3" s="3" t="s">
        <v>270</v>
      </c>
      <c r="T3" s="16" t="str">
        <f>LEFT(S3,FIND(" ",S3)-1)</f>
        <v>06H9BAR42LT00028</v>
      </c>
      <c r="U3" s="16" t="str">
        <f>CONCATENATE(0,RIGHT(S3,LEN(S3)-FIND(" ",S3)))</f>
        <v>0  1760105267</v>
      </c>
      <c r="W3" s="14" t="s">
        <v>247</v>
      </c>
      <c r="X3" s="16" t="str">
        <f>SUBSTITUTE(W3,"New Delhi","")</f>
        <v>476, TYPEIV LAXMI BAI NAGAR - 110023 DELHI (INDIA)</v>
      </c>
      <c r="Z3" s="13" t="s">
        <v>232</v>
      </c>
      <c r="AA3" s="13" t="s">
        <v>231</v>
      </c>
      <c r="AB3" s="13">
        <v>325</v>
      </c>
      <c r="AC3" s="24" t="str">
        <f>Z3&amp;" "&amp;AA3&amp;" "&amp;AB3</f>
        <v>Communication Marketing 325</v>
      </c>
      <c r="AE3" s="1" t="s">
        <v>322</v>
      </c>
      <c r="AF3" s="16" t="str">
        <f>SUBSTITUTE(SUBSTITUTE(SUBSTITUTE(SUBSTITUTE(SUBSTITUTE(SUBSTITUTE(SUBSTITUTE(SUBSTITUTE(SUBSTITUTE(SUBSTITUTE(SUBSTITUTE(SUBSTITUTE(AE3,"1",""),"2",""),"3",""),"4",""),"5",""),"6",""),"7",""),"8",""),"9",""),"0",""),"(",""),")","")</f>
        <v>anilcable id</v>
      </c>
      <c r="AR3" s="26">
        <v>7800364</v>
      </c>
      <c r="AS3" s="27" t="str">
        <f t="shared" ref="AS3:AS19" si="0">FIXED(AR3)</f>
        <v>7,800,364.00</v>
      </c>
      <c r="AW3" s="21" t="s">
        <v>324</v>
      </c>
      <c r="AX3" s="22"/>
      <c r="AY3" s="16">
        <f>LEN(AW3)-LEN(SUBSTITUTE(AW3,"a",""))</f>
        <v>8</v>
      </c>
      <c r="BB3" s="14" t="s">
        <v>187</v>
      </c>
      <c r="BD3">
        <f>LEN(AW3)-LEN(SUBSTITUTE(AW3,"a",""))</f>
        <v>8</v>
      </c>
    </row>
    <row r="4" spans="1:56" ht="43.2" x14ac:dyDescent="0.3">
      <c r="A4" s="1" t="s">
        <v>18</v>
      </c>
      <c r="B4" s="7" t="str">
        <f t="array" ref="B4:C4">VLOOKUP(A4,'Active List'!C:I,{6,7},0)</f>
        <v>Macwell Marketing Co Pvt Ltd (South Delhi Comm)</v>
      </c>
      <c r="C4" s="7">
        <v>1</v>
      </c>
      <c r="E4" s="13">
        <v>83340</v>
      </c>
      <c r="F4" s="16" t="str" cm="1">
        <f t="array" ref="F4">HLOOKUP(E4,TRANSPOSE('Active List'!$A:$B),2,0)</f>
        <v>Sat Pal</v>
      </c>
      <c r="G4" s="16"/>
      <c r="H4" s="16"/>
      <c r="K4" s="17" t="s">
        <v>18</v>
      </c>
      <c r="L4" s="18">
        <f>INDEX('Active List'!A:A,MATCH(Sheet1!K4,'Active List'!C:C,0))</f>
        <v>83340</v>
      </c>
      <c r="M4" s="18"/>
      <c r="O4" s="13" t="s">
        <v>15</v>
      </c>
      <c r="P4" s="16">
        <f>COUNTIFS('Active List'!H:H,Sheet1!O4,'Active List'!I:I,1)</f>
        <v>9</v>
      </c>
      <c r="Q4" s="16">
        <f>COUNTIFS('Active List'!H:H,Sheet1!O4,'Active List'!I:I,2)</f>
        <v>3</v>
      </c>
      <c r="S4" s="3" t="s">
        <v>271</v>
      </c>
      <c r="T4" s="16" t="str">
        <f t="shared" ref="T4:T46" si="1">LEFT(S4,FIND(" ",S4)-1)</f>
        <v>06H9BAR42LT00200</v>
      </c>
      <c r="U4" s="16" t="str">
        <f t="shared" ref="U4:U46" si="2">CONCATENATE(0,RIGHT(S4,LEN(S4)-FIND(" ",S4)))</f>
        <v>0  1760347043</v>
      </c>
      <c r="W4" s="14" t="s">
        <v>248</v>
      </c>
      <c r="X4" s="16" t="str">
        <f t="shared" ref="X4:X46" si="3">SUBSTITUTE(W4,"New Delhi","")</f>
        <v>96/FF  HUMAYUN PUR, - 110029 DELHI (INDIA)</v>
      </c>
      <c r="Z4" s="13">
        <v>325</v>
      </c>
      <c r="AA4" s="13" t="s">
        <v>232</v>
      </c>
      <c r="AB4" s="13" t="s">
        <v>231</v>
      </c>
      <c r="AC4" s="24" t="str">
        <f>Z4&amp;" "&amp;AA4&amp;" "&amp;AB4</f>
        <v>325 Communication Marketing</v>
      </c>
      <c r="AE4" s="1" t="s">
        <v>233</v>
      </c>
      <c r="AF4" s="16" t="str">
        <f t="shared" ref="AF4:AF12" si="4">SUBSTITUTE(SUBSTITUTE(SUBSTITUTE(SUBSTITUTE(SUBSTITUTE(SUBSTITUTE(SUBSTITUTE(SUBSTITUTE(SUBSTITUTE(SUBSTITUTE(SUBSTITUTE(SUBSTITUTE(AE4,"1",""),"2",""),"3",""),"4",""),"5",""),"6",""),"7",""),"8",""),"9",""),"0",""),"(",""),")","")</f>
        <v>ashishcable id</v>
      </c>
      <c r="AH4" s="16">
        <f t="array" ref="AH4:AH12">TRANSPOSE(AH2)</f>
        <v>1760105267</v>
      </c>
      <c r="AR4" s="26">
        <v>7910269</v>
      </c>
      <c r="AS4" s="27" t="str">
        <f t="shared" si="0"/>
        <v>7,910,269.00</v>
      </c>
      <c r="BB4" s="14" t="s">
        <v>188</v>
      </c>
    </row>
    <row r="5" spans="1:56" ht="28.8" x14ac:dyDescent="0.3">
      <c r="A5" s="1" t="s">
        <v>59</v>
      </c>
      <c r="B5" s="7" t="str">
        <f t="array" ref="B5:C5">VLOOKUP(A5,'Active List'!C:I,{6,7},0)</f>
        <v>S.K Cable Network(DEL705)</v>
      </c>
      <c r="C5" s="7">
        <v>1</v>
      </c>
      <c r="E5" s="13">
        <v>83540</v>
      </c>
      <c r="F5" s="16" t="str" cm="1">
        <f t="array" ref="F5">HLOOKUP(E5,TRANSPOSE('Active List'!$A:$B),2,0)</f>
        <v>PRASHANT</v>
      </c>
      <c r="G5" s="16"/>
      <c r="H5" s="16"/>
      <c r="K5" s="17" t="s">
        <v>59</v>
      </c>
      <c r="L5" s="18">
        <f>INDEX('Active List'!A:A,MATCH(Sheet1!K5,'Active List'!C:C,0))</f>
        <v>83540</v>
      </c>
      <c r="M5" s="18"/>
      <c r="O5" s="13" t="s">
        <v>31</v>
      </c>
      <c r="P5" s="16">
        <f>COUNTIFS('Active List'!H:H,Sheet1!O5,'Active List'!I:I,1)</f>
        <v>2</v>
      </c>
      <c r="Q5" s="16">
        <f>COUNTIFS('Active List'!H:H,Sheet1!O5,'Active List'!I:I,2)</f>
        <v>1</v>
      </c>
      <c r="S5" s="3" t="s">
        <v>272</v>
      </c>
      <c r="T5" s="16" t="str">
        <f t="shared" si="1"/>
        <v>2213ICA2-1036259</v>
      </c>
      <c r="U5" s="16" t="str">
        <f t="shared" si="2"/>
        <v>0  1760420917</v>
      </c>
      <c r="W5" s="14" t="s">
        <v>249</v>
      </c>
      <c r="X5" s="16" t="str">
        <f t="shared" si="3"/>
        <v>J4/71 GFLS KHIRKI EXTN - 110017 DELHI (INDIA)</v>
      </c>
      <c r="AE5" s="1" t="s">
        <v>234</v>
      </c>
      <c r="AF5" s="16" t="str">
        <f t="shared" si="4"/>
        <v>ashishcable id</v>
      </c>
      <c r="AH5" s="16">
        <v>1760105267</v>
      </c>
      <c r="AR5" s="26">
        <v>7914942</v>
      </c>
      <c r="AS5" s="27" t="str">
        <f t="shared" si="0"/>
        <v>7,914,942.00</v>
      </c>
      <c r="BB5" s="14" t="s">
        <v>189</v>
      </c>
    </row>
    <row r="6" spans="1:56" ht="43.2" x14ac:dyDescent="0.3">
      <c r="A6" s="1" t="s">
        <v>49</v>
      </c>
      <c r="B6" s="7" t="str">
        <f t="array" ref="B6:C6">VLOOKUP(A6,'Active List'!C:I,{6,7},0)</f>
        <v>Macwell Marketing Co Pvt Ltd (South Delhi Comm)</v>
      </c>
      <c r="C6" s="7">
        <v>1</v>
      </c>
      <c r="E6" s="13">
        <v>83541</v>
      </c>
      <c r="F6" s="16" t="str" cm="1">
        <f t="array" ref="F6">HLOOKUP(E6,TRANSPOSE('Active List'!$A:$B),2,0)</f>
        <v>SGT SP Yadav</v>
      </c>
      <c r="G6" s="16"/>
      <c r="H6" s="16"/>
      <c r="K6" s="17" t="s">
        <v>49</v>
      </c>
      <c r="L6" s="18">
        <f>INDEX('Active List'!A:A,MATCH(Sheet1!K6,'Active List'!C:C,0))</f>
        <v>83541</v>
      </c>
      <c r="M6" s="18"/>
      <c r="O6" s="13" t="s">
        <v>21</v>
      </c>
      <c r="P6" s="16">
        <f>COUNTIFS('Active List'!H:H,Sheet1!O6,'Active List'!I:I,1)</f>
        <v>15</v>
      </c>
      <c r="Q6" s="16">
        <f>COUNTIFS('Active List'!H:H,Sheet1!O6,'Active List'!I:I,2)</f>
        <v>5</v>
      </c>
      <c r="S6" s="3" t="s">
        <v>273</v>
      </c>
      <c r="T6" s="16" t="str">
        <f t="shared" si="1"/>
        <v>06J8BAR49SM11680</v>
      </c>
      <c r="U6" s="16" t="str">
        <f t="shared" si="2"/>
        <v>0  1760465717</v>
      </c>
      <c r="W6" s="14" t="s">
        <v>250</v>
      </c>
      <c r="X6" s="16" t="str">
        <f t="shared" si="3"/>
        <v>19 C/1 NWC, AIR FORCE STATION RACE COURSE - 110003 DELHI (INDIA)</v>
      </c>
      <c r="AE6" s="1" t="s">
        <v>241</v>
      </c>
      <c r="AF6" s="16" t="str">
        <f t="shared" si="4"/>
        <v>ashish cable id</v>
      </c>
      <c r="AH6" s="16">
        <v>1760105267</v>
      </c>
      <c r="AR6" s="26">
        <v>7973154</v>
      </c>
      <c r="AS6" s="27" t="str">
        <f t="shared" si="0"/>
        <v>7,973,154.00</v>
      </c>
      <c r="BB6" s="14" t="s">
        <v>190</v>
      </c>
    </row>
    <row r="7" spans="1:56" ht="28.8" x14ac:dyDescent="0.3">
      <c r="A7" s="1" t="s">
        <v>176</v>
      </c>
      <c r="B7" s="7" t="str">
        <f t="array" ref="B7:C7">VLOOKUP(A7,'Active List'!C:I,{6,7},0)</f>
        <v>S.K Cable Network(DEL705)</v>
      </c>
      <c r="C7" s="7">
        <v>2</v>
      </c>
      <c r="E7" s="13">
        <v>83764</v>
      </c>
      <c r="F7" s="16" t="str" cm="1">
        <f t="array" ref="F7">HLOOKUP(E7,TRANSPOSE('Active List'!$A:$B),2,0)</f>
        <v>AKHILESH MISHRA</v>
      </c>
      <c r="G7" s="16"/>
      <c r="H7" s="16"/>
      <c r="K7" s="17" t="s">
        <v>176</v>
      </c>
      <c r="L7" s="18">
        <f>INDEX('Active List'!A:A,MATCH(Sheet1!K7,'Active List'!C:C,0))</f>
        <v>83764</v>
      </c>
      <c r="M7" s="18"/>
      <c r="O7" s="13" t="s">
        <v>37</v>
      </c>
      <c r="P7" s="16">
        <f>COUNTIFS('Active List'!H:H,Sheet1!O7,'Active List'!I:I,1)</f>
        <v>0</v>
      </c>
      <c r="Q7" s="16">
        <f>COUNTIFS('Active List'!H:H,Sheet1!O7,'Active List'!I:I,2)</f>
        <v>1</v>
      </c>
      <c r="S7" s="3" t="s">
        <v>274</v>
      </c>
      <c r="T7" s="16" t="str">
        <f t="shared" si="1"/>
        <v>06J8BAR49SM32573</v>
      </c>
      <c r="U7" s="16" t="str">
        <f t="shared" si="2"/>
        <v>0  1760344903</v>
      </c>
      <c r="W7" s="14" t="s">
        <v>178</v>
      </c>
      <c r="X7" s="16" t="str">
        <f t="shared" si="3"/>
        <v>H16/271 SANGAM VIHAR</v>
      </c>
      <c r="AE7" s="1" t="s">
        <v>235</v>
      </c>
      <c r="AF7" s="16" t="str">
        <f t="shared" si="4"/>
        <v>ashishcable id</v>
      </c>
      <c r="AH7" s="16">
        <v>1760105267</v>
      </c>
      <c r="AR7" s="26">
        <v>7973194</v>
      </c>
      <c r="AS7" s="27" t="str">
        <f t="shared" si="0"/>
        <v>7,973,194.00</v>
      </c>
      <c r="BB7" s="14" t="s">
        <v>191</v>
      </c>
    </row>
    <row r="8" spans="1:56" ht="28.8" x14ac:dyDescent="0.3">
      <c r="A8" s="1" t="s">
        <v>115</v>
      </c>
      <c r="B8" s="7" t="str">
        <f t="array" ref="B8:C8">VLOOKUP(A8,'Active List'!C:I,{6,7},0)</f>
        <v>Satellite Channels P. Ltd(DEL701)</v>
      </c>
      <c r="C8" s="7">
        <v>1</v>
      </c>
      <c r="E8" s="13">
        <v>83811</v>
      </c>
      <c r="F8" s="16" t="str" cm="1">
        <f t="array" ref="F8">HLOOKUP(E8,TRANSPOSE('Active List'!$A:$B),2,0)</f>
        <v>G. S. BAIDI</v>
      </c>
      <c r="G8" s="16"/>
      <c r="H8" s="16"/>
      <c r="K8" s="17" t="s">
        <v>115</v>
      </c>
      <c r="L8" s="18">
        <f>INDEX('Active List'!A:A,MATCH(Sheet1!K8,'Active List'!C:C,0))</f>
        <v>83811</v>
      </c>
      <c r="M8" s="18"/>
      <c r="S8" s="3" t="s">
        <v>275</v>
      </c>
      <c r="T8" s="16" t="str">
        <f t="shared" si="1"/>
        <v>06J8BAR49SM32647</v>
      </c>
      <c r="U8" s="16" t="str">
        <f t="shared" si="2"/>
        <v>0  1760347846</v>
      </c>
      <c r="W8" s="14" t="s">
        <v>116</v>
      </c>
      <c r="X8" s="16" t="str">
        <f t="shared" si="3"/>
        <v>L 31 S FLR LAJPAT NGR II</v>
      </c>
      <c r="AE8" s="1" t="s">
        <v>238</v>
      </c>
      <c r="AF8" s="16" t="str">
        <f t="shared" si="4"/>
        <v>ashishcable id</v>
      </c>
      <c r="AH8" s="16">
        <v>1760105267</v>
      </c>
      <c r="AR8" s="26">
        <v>8080654</v>
      </c>
      <c r="AS8" s="27" t="str">
        <f t="shared" si="0"/>
        <v>8,080,654.00</v>
      </c>
      <c r="BB8" s="14" t="s">
        <v>192</v>
      </c>
    </row>
    <row r="9" spans="1:56" ht="43.2" x14ac:dyDescent="0.3">
      <c r="A9" s="1" t="s">
        <v>158</v>
      </c>
      <c r="B9" s="7" t="str">
        <f t="array" ref="B9:C9">VLOOKUP(A9,'Active List'!C:I,{6,7},0)</f>
        <v>Macwell Marketing Co Pvt Ltd (South Delhi Comm)</v>
      </c>
      <c r="C9" s="7">
        <v>2</v>
      </c>
      <c r="E9" s="13">
        <v>84077</v>
      </c>
      <c r="F9" s="16" t="str" cm="1">
        <f t="array" ref="F9">HLOOKUP(E9,TRANSPOSE('Active List'!$A:$B),2,0)</f>
        <v>SANJAY KUMAR</v>
      </c>
      <c r="G9" s="16"/>
      <c r="H9" s="16"/>
      <c r="K9" s="17" t="s">
        <v>158</v>
      </c>
      <c r="L9" s="18">
        <f>INDEX('Active List'!A:A,MATCH(Sheet1!K9,'Active List'!C:C,0))</f>
        <v>84077</v>
      </c>
      <c r="M9" s="18"/>
      <c r="S9" s="3" t="s">
        <v>276</v>
      </c>
      <c r="T9" s="16" t="str">
        <f t="shared" si="1"/>
        <v>0718BAU02DS10867</v>
      </c>
      <c r="U9" s="16" t="str">
        <f t="shared" si="2"/>
        <v>0  1760447627</v>
      </c>
      <c r="W9" s="14" t="s">
        <v>251</v>
      </c>
      <c r="X9" s="16" t="str">
        <f t="shared" si="3"/>
        <v>H.N0.3  F.F.ARJUN NGR. - 110016 DELHI -INDIA</v>
      </c>
      <c r="AE9" s="1" t="s">
        <v>236</v>
      </c>
      <c r="AF9" s="16" t="str">
        <f t="shared" si="4"/>
        <v>ashishcable id</v>
      </c>
      <c r="AH9" s="16">
        <v>1760105267</v>
      </c>
      <c r="AR9" s="26">
        <v>8472454</v>
      </c>
      <c r="AS9" s="27" t="str">
        <f t="shared" si="0"/>
        <v>8,472,454.00</v>
      </c>
      <c r="BB9" s="14" t="s">
        <v>193</v>
      </c>
    </row>
    <row r="10" spans="1:56" ht="28.8" x14ac:dyDescent="0.3">
      <c r="A10" s="1" t="s">
        <v>98</v>
      </c>
      <c r="B10" s="7" t="str">
        <f t="array" ref="B10:C10">VLOOKUP(A10,'Active List'!C:I,{6,7},0)</f>
        <v>S.K Cable Network(DEL705)</v>
      </c>
      <c r="C10" s="7">
        <v>1</v>
      </c>
      <c r="E10" s="13">
        <v>84131</v>
      </c>
      <c r="F10" s="16" t="str" cm="1">
        <f t="array" ref="F10">HLOOKUP(E10,TRANSPOSE('Active List'!$A:$B),2,0)</f>
        <v>RAGHVENDRA</v>
      </c>
      <c r="G10" s="16"/>
      <c r="H10" s="16"/>
      <c r="K10" s="17" t="s">
        <v>98</v>
      </c>
      <c r="L10" s="18">
        <f>INDEX('Active List'!A:A,MATCH(Sheet1!K10,'Active List'!C:C,0))</f>
        <v>84131</v>
      </c>
      <c r="M10" s="18"/>
      <c r="S10" s="3" t="s">
        <v>277</v>
      </c>
      <c r="T10" s="16" t="str">
        <f t="shared" si="1"/>
        <v>2213ICA2-1033156</v>
      </c>
      <c r="U10" s="16" t="str">
        <f t="shared" si="2"/>
        <v>0  1761333827</v>
      </c>
      <c r="W10" s="14" t="s">
        <v>99</v>
      </c>
      <c r="X10" s="16" t="str">
        <f t="shared" si="3"/>
        <v>FLAT NO. 96/5 SEC-1 PUSHP VIHAR</v>
      </c>
      <c r="AE10" s="1" t="s">
        <v>239</v>
      </c>
      <c r="AF10" s="16" t="str">
        <f t="shared" si="4"/>
        <v>ashishcable id</v>
      </c>
      <c r="AH10" s="16">
        <v>1760105267</v>
      </c>
      <c r="AR10" s="26">
        <v>8863594</v>
      </c>
      <c r="AS10" s="27" t="str">
        <f t="shared" si="0"/>
        <v>8,863,594.00</v>
      </c>
      <c r="BB10" s="14" t="s">
        <v>194</v>
      </c>
    </row>
    <row r="11" spans="1:56" ht="28.8" x14ac:dyDescent="0.3">
      <c r="A11" s="1" t="s">
        <v>74</v>
      </c>
      <c r="B11" s="7" t="str">
        <f t="array" ref="B11:C11">VLOOKUP(A11,'Active List'!C:I,{6,7},0)</f>
        <v>Satellite Channels P. Ltd(DEL701)</v>
      </c>
      <c r="C11" s="7">
        <v>1</v>
      </c>
      <c r="E11" s="13">
        <v>84259</v>
      </c>
      <c r="F11" s="16" t="str" cm="1">
        <f t="array" ref="F11">HLOOKUP(E11,TRANSPOSE('Active List'!$A:$B),2,0)</f>
        <v>SUDARSHAN SACHDEV</v>
      </c>
      <c r="G11" s="16"/>
      <c r="H11" s="16"/>
      <c r="K11" s="17" t="s">
        <v>74</v>
      </c>
      <c r="L11" s="18">
        <f>INDEX('Active List'!A:A,MATCH(Sheet1!K11,'Active List'!C:C,0))</f>
        <v>84259</v>
      </c>
      <c r="M11" s="18"/>
      <c r="S11" s="3" t="s">
        <v>278</v>
      </c>
      <c r="T11" s="16" t="str">
        <f t="shared" si="1"/>
        <v>06j8bar49sm27232</v>
      </c>
      <c r="U11" s="16" t="str">
        <f t="shared" si="2"/>
        <v>0  1760134838</v>
      </c>
      <c r="W11" s="14" t="s">
        <v>252</v>
      </c>
      <c r="X11" s="16" t="str">
        <f t="shared" si="3"/>
        <v>3/1 IIIRD FLOOR JANGPURA EXTN - 110014 DELHI (INDIA)</v>
      </c>
      <c r="AE11" s="1" t="s">
        <v>237</v>
      </c>
      <c r="AF11" s="16" t="str">
        <f t="shared" si="4"/>
        <v>ashishcable id</v>
      </c>
      <c r="AH11" s="16">
        <v>1760105267</v>
      </c>
      <c r="AR11" s="26">
        <v>7783274</v>
      </c>
      <c r="AS11" s="27" t="str">
        <f t="shared" si="0"/>
        <v>7,783,274.00</v>
      </c>
      <c r="BB11" s="14" t="s">
        <v>195</v>
      </c>
    </row>
    <row r="12" spans="1:56" ht="28.8" x14ac:dyDescent="0.3">
      <c r="A12" s="1" t="s">
        <v>93</v>
      </c>
      <c r="B12" s="7" t="str">
        <f t="array" ref="B12:C12">VLOOKUP(A12,'Active List'!C:I,{6,7},0)</f>
        <v>M D Cable(DEL711)</v>
      </c>
      <c r="C12" s="7">
        <v>1</v>
      </c>
      <c r="K12" s="17" t="s">
        <v>93</v>
      </c>
      <c r="L12" s="18">
        <f>INDEX('Active List'!A:A,MATCH(Sheet1!K12,'Active List'!C:C,0))</f>
        <v>84389</v>
      </c>
      <c r="M12" s="18"/>
      <c r="S12" s="3" t="s">
        <v>279</v>
      </c>
      <c r="T12" s="16" t="str">
        <f t="shared" si="1"/>
        <v>0773BAU27DS27547</v>
      </c>
      <c r="U12" s="16" t="str">
        <f t="shared" si="2"/>
        <v>0  1760203666</v>
      </c>
      <c r="W12" s="14" t="s">
        <v>253</v>
      </c>
      <c r="X12" s="16" t="str">
        <f t="shared" si="3"/>
        <v>DII/52 WEST KIDWAI NAGAR - 110023 DELHI (INDIA)</v>
      </c>
      <c r="AE12" s="1" t="s">
        <v>240</v>
      </c>
      <c r="AF12" s="16" t="str">
        <f t="shared" si="4"/>
        <v>ashish cable id</v>
      </c>
      <c r="AH12" s="16">
        <v>1760105267</v>
      </c>
      <c r="AR12" s="26">
        <v>7800364</v>
      </c>
      <c r="AS12" s="27" t="str">
        <f t="shared" si="0"/>
        <v>7,800,364.00</v>
      </c>
      <c r="BB12" s="14" t="s">
        <v>196</v>
      </c>
    </row>
    <row r="13" spans="1:56" ht="28.8" x14ac:dyDescent="0.3">
      <c r="A13" s="1" t="s">
        <v>100</v>
      </c>
      <c r="B13" s="7" t="str">
        <f t="array" ref="B13:C13">VLOOKUP(A13,'Active List'!C:I,{6,7},0)</f>
        <v>M D Cable(DEL711)</v>
      </c>
      <c r="C13" s="7">
        <v>1</v>
      </c>
      <c r="K13" s="17" t="s">
        <v>100</v>
      </c>
      <c r="L13" s="18">
        <f>INDEX('Active List'!A:A,MATCH(Sheet1!K13,'Active List'!C:C,0))</f>
        <v>84390</v>
      </c>
      <c r="M13" s="18"/>
      <c r="S13" s="3" t="s">
        <v>280</v>
      </c>
      <c r="T13" s="16" t="str">
        <f t="shared" si="1"/>
        <v>2213ICA2-1033581</v>
      </c>
      <c r="U13" s="16" t="str">
        <f t="shared" si="2"/>
        <v>0  1760597792</v>
      </c>
      <c r="W13" s="14" t="s">
        <v>254</v>
      </c>
      <c r="X13" s="16" t="str">
        <f t="shared" si="3"/>
        <v>C3 TYPEIII WEST KIDWAI NAGAR - 110023 DELHI (INDIA)</v>
      </c>
      <c r="AR13" s="26">
        <v>7910269</v>
      </c>
      <c r="AS13" s="27" t="str">
        <f t="shared" si="0"/>
        <v>7,910,269.00</v>
      </c>
      <c r="BB13" s="14" t="s">
        <v>197</v>
      </c>
    </row>
    <row r="14" spans="1:56" ht="28.8" x14ac:dyDescent="0.3">
      <c r="A14" s="1" t="s">
        <v>79</v>
      </c>
      <c r="B14" s="7" t="str">
        <f t="array" ref="B14:C14">VLOOKUP(A14,'Active List'!C:I,{6,7},0)</f>
        <v>M D Cable(DEL711)</v>
      </c>
      <c r="C14" s="7">
        <v>1</v>
      </c>
      <c r="K14" s="17" t="s">
        <v>79</v>
      </c>
      <c r="L14" s="18">
        <f>INDEX('Active List'!A:A,MATCH(Sheet1!K14,'Active List'!C:C,0))</f>
        <v>84392</v>
      </c>
      <c r="M14" s="18"/>
      <c r="S14" s="3" t="s">
        <v>281</v>
      </c>
      <c r="T14" s="16" t="str">
        <f t="shared" si="1"/>
        <v>06J8BAR49SM33494</v>
      </c>
      <c r="U14" s="16" t="str">
        <f t="shared" si="2"/>
        <v>0  1760344576</v>
      </c>
      <c r="W14" s="14" t="s">
        <v>255</v>
      </c>
      <c r="X14" s="16" t="str">
        <f t="shared" si="3"/>
        <v>288,LAXMI BAI NAGAR - 110023 DELHI (INDIA)</v>
      </c>
      <c r="AR14" s="26">
        <v>7914942</v>
      </c>
      <c r="AS14" s="27" t="str">
        <f t="shared" si="0"/>
        <v>7,914,942.00</v>
      </c>
      <c r="BB14" s="14" t="s">
        <v>198</v>
      </c>
    </row>
    <row r="15" spans="1:56" ht="28.8" x14ac:dyDescent="0.3">
      <c r="A15" s="1" t="s">
        <v>89</v>
      </c>
      <c r="B15" s="7" t="str">
        <f t="array" ref="B15:C15">VLOOKUP(A15,'Active List'!C:I,{6,7},0)</f>
        <v>M D Cable(DEL711)</v>
      </c>
      <c r="C15" s="7">
        <v>1</v>
      </c>
      <c r="K15" s="17" t="s">
        <v>89</v>
      </c>
      <c r="L15" s="18">
        <f>INDEX('Active List'!A:A,MATCH(Sheet1!K15,'Active List'!C:C,0))</f>
        <v>84393</v>
      </c>
      <c r="M15" s="18"/>
      <c r="S15" s="3" t="s">
        <v>282</v>
      </c>
      <c r="T15" s="16" t="str">
        <f t="shared" si="1"/>
        <v>0708BAU03SM31087</v>
      </c>
      <c r="U15" s="16" t="str">
        <f t="shared" si="2"/>
        <v>0  1760421982</v>
      </c>
      <c r="W15" s="14" t="s">
        <v>256</v>
      </c>
      <c r="X15" s="16" t="str">
        <f t="shared" si="3"/>
        <v>345LAXMI BAI NAGAR - 110023 DELHI (INDIA)</v>
      </c>
      <c r="AR15" s="26">
        <v>7973154</v>
      </c>
      <c r="AS15" s="27" t="str">
        <f t="shared" si="0"/>
        <v>7,973,154.00</v>
      </c>
      <c r="BB15" s="14" t="s">
        <v>199</v>
      </c>
    </row>
    <row r="16" spans="1:56" ht="28.8" x14ac:dyDescent="0.3">
      <c r="A16" s="1" t="s">
        <v>95</v>
      </c>
      <c r="B16" s="7" t="str">
        <f t="array" ref="B16:C16">VLOOKUP(A16,'Active List'!C:I,{6,7},0)</f>
        <v>Satellite Channels P. Ltd(DEL701)</v>
      </c>
      <c r="C16" s="7">
        <v>1</v>
      </c>
      <c r="K16" s="17" t="s">
        <v>95</v>
      </c>
      <c r="L16" s="18">
        <f>INDEX('Active List'!A:A,MATCH(Sheet1!K16,'Active List'!C:C,0))</f>
        <v>84721</v>
      </c>
      <c r="M16" s="18"/>
      <c r="S16" s="3" t="s">
        <v>283</v>
      </c>
      <c r="T16" s="16" t="str">
        <f t="shared" si="1"/>
        <v>2213ICA2-1022226</v>
      </c>
      <c r="U16" s="16" t="str">
        <f t="shared" si="2"/>
        <v>0  1760570248</v>
      </c>
      <c r="W16" s="14" t="s">
        <v>96</v>
      </c>
      <c r="X16" s="16" t="str">
        <f t="shared" si="3"/>
        <v>Q20BIST FLOOR</v>
      </c>
      <c r="AR16" s="26">
        <v>7973194</v>
      </c>
      <c r="AS16" s="27" t="str">
        <f t="shared" si="0"/>
        <v>7,973,194.00</v>
      </c>
      <c r="BB16" s="14" t="s">
        <v>200</v>
      </c>
    </row>
    <row r="17" spans="1:54" ht="28.8" x14ac:dyDescent="0.3">
      <c r="A17" s="1" t="s">
        <v>153</v>
      </c>
      <c r="B17" s="7" t="str">
        <f t="array" ref="B17:C17">VLOOKUP(A17,'Active List'!C:I,{6,7},0)</f>
        <v>Satellite Channels P. Ltd(DEL701)</v>
      </c>
      <c r="C17" s="7">
        <v>2</v>
      </c>
      <c r="K17" s="13" t="s">
        <v>153</v>
      </c>
      <c r="L17" s="18">
        <f>INDEX('Active List'!A:A,MATCH(Sheet1!K17,'Active List'!C:C,0))</f>
        <v>84743</v>
      </c>
      <c r="M17" s="18"/>
      <c r="S17" s="3" t="s">
        <v>284</v>
      </c>
      <c r="T17" s="16" t="str">
        <f t="shared" si="1"/>
        <v>2213iCA2-1123223</v>
      </c>
      <c r="U17" s="16" t="str">
        <f t="shared" si="2"/>
        <v>0  1760660851</v>
      </c>
      <c r="W17" s="14" t="s">
        <v>257</v>
      </c>
      <c r="X17" s="16" t="str">
        <f t="shared" si="3"/>
        <v>B21 EAST OF KAILASH - 110065 DELHI -INDIA</v>
      </c>
      <c r="AR17" s="26">
        <v>8080654</v>
      </c>
      <c r="AS17" s="27" t="str">
        <f t="shared" si="0"/>
        <v>8,080,654.00</v>
      </c>
      <c r="BB17" s="14" t="s">
        <v>201</v>
      </c>
    </row>
    <row r="18" spans="1:54" ht="43.2" x14ac:dyDescent="0.3">
      <c r="A18" s="1" t="s">
        <v>107</v>
      </c>
      <c r="B18" s="7" t="str">
        <f t="array" ref="B18:C18">VLOOKUP(A18,'Active List'!C:I,{6,7},0)</f>
        <v>Macwell Marketing Co Pvt Ltd (South Delhi Comm)</v>
      </c>
      <c r="C18" s="7">
        <v>1</v>
      </c>
      <c r="K18" s="13" t="s">
        <v>107</v>
      </c>
      <c r="L18" s="18">
        <f>INDEX('Active List'!A:A,MATCH(Sheet1!K18,'Active List'!C:C,0))</f>
        <v>84992</v>
      </c>
      <c r="M18" s="18"/>
      <c r="S18" s="3" t="s">
        <v>285</v>
      </c>
      <c r="T18" s="16" t="str">
        <f t="shared" si="1"/>
        <v>2213ICA2-1124419</v>
      </c>
      <c r="U18" s="16" t="str">
        <f t="shared" si="2"/>
        <v>0  1760348286</v>
      </c>
      <c r="W18" s="14" t="s">
        <v>258</v>
      </c>
      <c r="X18" s="16" t="str">
        <f t="shared" si="3"/>
        <v>QTR NO-26,DP JNU - 110067 DELHI (INDIA)</v>
      </c>
      <c r="AR18" s="26">
        <v>8472454</v>
      </c>
      <c r="AS18" s="27" t="str">
        <f t="shared" si="0"/>
        <v>8,472,454.00</v>
      </c>
      <c r="BB18" s="14" t="s">
        <v>202</v>
      </c>
    </row>
    <row r="19" spans="1:54" ht="28.8" x14ac:dyDescent="0.3">
      <c r="A19" s="1" t="s">
        <v>130</v>
      </c>
      <c r="B19" s="7" t="str">
        <f t="array" ref="B19:C19">VLOOKUP(A19,'Active List'!C:I,{6,7},0)</f>
        <v>Satellite Channels P. Ltd(DEL701)</v>
      </c>
      <c r="C19" s="7">
        <v>1</v>
      </c>
      <c r="K19" s="13" t="s">
        <v>130</v>
      </c>
      <c r="L19" s="18">
        <f>INDEX('Active List'!A:A,MATCH(Sheet1!K19,'Active List'!C:C,0))</f>
        <v>85098</v>
      </c>
      <c r="M19" s="18"/>
      <c r="S19" s="3" t="s">
        <v>286</v>
      </c>
      <c r="T19" s="16" t="str">
        <f t="shared" si="1"/>
        <v>06J8BAR49SM34572</v>
      </c>
      <c r="U19" s="16" t="str">
        <f t="shared" si="2"/>
        <v>0  1760015213</v>
      </c>
      <c r="W19" s="14" t="s">
        <v>131</v>
      </c>
      <c r="X19" s="16" t="str">
        <f t="shared" si="3"/>
        <v>B16 2ND FLOOR EAST OF KAILASH</v>
      </c>
      <c r="AR19" s="26">
        <v>8863594</v>
      </c>
      <c r="AS19" s="27" t="str">
        <f t="shared" si="0"/>
        <v>8,863,594.00</v>
      </c>
      <c r="BB19" s="14" t="s">
        <v>203</v>
      </c>
    </row>
    <row r="20" spans="1:54" ht="28.8" x14ac:dyDescent="0.3">
      <c r="A20" s="1" t="s">
        <v>180</v>
      </c>
      <c r="B20" s="7" t="str">
        <f t="array" ref="B20:C20">VLOOKUP(A20,'Active List'!C:I,{6,7},0)</f>
        <v>Satellite Channels P. Ltd(DEL701)</v>
      </c>
      <c r="C20" s="7">
        <v>2</v>
      </c>
      <c r="K20" s="13" t="s">
        <v>180</v>
      </c>
      <c r="L20" s="18">
        <f>INDEX('Active List'!A:A,MATCH(Sheet1!K20,'Active List'!C:C,0))</f>
        <v>85149</v>
      </c>
      <c r="M20" s="18"/>
      <c r="S20" s="3" t="s">
        <v>287</v>
      </c>
      <c r="T20" s="16" t="str">
        <f t="shared" si="1"/>
        <v>0707BAU02SM15383</v>
      </c>
      <c r="U20" s="16" t="str">
        <f t="shared" si="2"/>
        <v>0  1760192281</v>
      </c>
      <c r="W20" s="14" t="s">
        <v>181</v>
      </c>
      <c r="X20" s="16" t="str">
        <f t="shared" si="3"/>
        <v>E107 SF  Lajpat Nagar</v>
      </c>
      <c r="BB20" s="14" t="s">
        <v>204</v>
      </c>
    </row>
    <row r="21" spans="1:54" ht="28.8" x14ac:dyDescent="0.3">
      <c r="A21" s="1" t="s">
        <v>121</v>
      </c>
      <c r="B21" s="7" t="str">
        <f t="array" ref="B21:C21">VLOOKUP(A21,'Active List'!C:I,{6,7},0)</f>
        <v>Satellite Channels P. Ltd(DEL701)</v>
      </c>
      <c r="C21" s="7">
        <v>1</v>
      </c>
      <c r="K21" s="13" t="s">
        <v>121</v>
      </c>
      <c r="L21" s="18">
        <f>INDEX('Active List'!A:A,MATCH(Sheet1!K21,'Active List'!C:C,0))</f>
        <v>85151</v>
      </c>
      <c r="M21" s="18"/>
      <c r="S21" s="3" t="s">
        <v>288</v>
      </c>
      <c r="T21" s="16" t="str">
        <f t="shared" si="1"/>
        <v>2213ICA2-1000055</v>
      </c>
      <c r="U21" s="16" t="str">
        <f t="shared" si="2"/>
        <v>0  1760669008</v>
      </c>
      <c r="W21" s="14" t="s">
        <v>122</v>
      </c>
      <c r="X21" s="16" t="str">
        <f t="shared" si="3"/>
        <v>I35SECOND FLOOR LAJPAT NAGERI</v>
      </c>
      <c r="BB21" s="14" t="s">
        <v>205</v>
      </c>
    </row>
    <row r="22" spans="1:54" ht="28.8" x14ac:dyDescent="0.3">
      <c r="A22" s="1" t="s">
        <v>182</v>
      </c>
      <c r="B22" s="7" t="str">
        <f t="array" ref="B22:C22">VLOOKUP(A22,'Active List'!C:I,{6,7},0)</f>
        <v>Satellite Channels P. Ltd(DEL701)</v>
      </c>
      <c r="C22" s="7">
        <v>2</v>
      </c>
      <c r="K22" s="13" t="s">
        <v>182</v>
      </c>
      <c r="L22" s="18">
        <f>INDEX('Active List'!A:A,MATCH(Sheet1!K22,'Active List'!C:C,0))</f>
        <v>85152</v>
      </c>
      <c r="M22" s="18"/>
      <c r="S22" s="3" t="s">
        <v>289</v>
      </c>
      <c r="T22" s="16" t="str">
        <f t="shared" si="1"/>
        <v>06J8BAR49SM35356</v>
      </c>
      <c r="U22" s="16" t="str">
        <f t="shared" si="2"/>
        <v>0  1760229817</v>
      </c>
      <c r="W22" s="14" t="s">
        <v>183</v>
      </c>
      <c r="X22" s="16" t="str">
        <f t="shared" si="3"/>
        <v>I35SECOND FLOOR</v>
      </c>
      <c r="BB22" s="14" t="s">
        <v>206</v>
      </c>
    </row>
    <row r="23" spans="1:54" ht="28.8" x14ac:dyDescent="0.3">
      <c r="A23" s="1" t="s">
        <v>117</v>
      </c>
      <c r="B23" s="7" t="str">
        <f t="array" ref="B23:C23">VLOOKUP(A23,'Active List'!C:I,{6,7},0)</f>
        <v>M D Cable(DEL711)</v>
      </c>
      <c r="C23" s="7">
        <v>1</v>
      </c>
      <c r="K23" s="13" t="s">
        <v>117</v>
      </c>
      <c r="L23" s="18">
        <f>INDEX('Active List'!A:A,MATCH(Sheet1!K23,'Active List'!C:C,0))</f>
        <v>85153</v>
      </c>
      <c r="M23" s="18"/>
      <c r="S23" s="3" t="s">
        <v>290</v>
      </c>
      <c r="T23" s="16" t="str">
        <f t="shared" si="1"/>
        <v>0708BAU03SM31084</v>
      </c>
      <c r="U23" s="16" t="str">
        <f t="shared" si="2"/>
        <v>0  1760404711</v>
      </c>
      <c r="W23" s="14" t="s">
        <v>259</v>
      </c>
      <c r="X23" s="16" t="str">
        <f t="shared" si="3"/>
        <v>1493 LAXMI BAI NAGAR - 110044 DELHI (INDIA)</v>
      </c>
      <c r="BB23" s="14" t="s">
        <v>207</v>
      </c>
    </row>
    <row r="24" spans="1:54" ht="28.8" x14ac:dyDescent="0.3">
      <c r="A24" s="1" t="s">
        <v>168</v>
      </c>
      <c r="B24" s="7" t="str">
        <f t="array" ref="B24:C24">VLOOKUP(A24,'Active List'!C:I,{6,7},0)</f>
        <v>M D Cable(DEL711)</v>
      </c>
      <c r="C24" s="7">
        <v>2</v>
      </c>
      <c r="K24" s="13" t="s">
        <v>168</v>
      </c>
      <c r="L24" s="18">
        <f>INDEX('Active List'!A:A,MATCH(Sheet1!K24,'Active List'!C:C,0))</f>
        <v>85154</v>
      </c>
      <c r="M24" s="18"/>
      <c r="S24" s="3" t="s">
        <v>291</v>
      </c>
      <c r="T24" s="16" t="str">
        <f t="shared" si="1"/>
        <v>06J8BAR49SM34657</v>
      </c>
      <c r="U24" s="16" t="str">
        <f t="shared" si="2"/>
        <v>0  1760128542</v>
      </c>
      <c r="W24" s="14" t="s">
        <v>260</v>
      </c>
      <c r="X24" s="16" t="str">
        <f t="shared" si="3"/>
        <v>249  Laxmi Bai Nagar - 110023 DELHI -INDIA</v>
      </c>
      <c r="BB24" s="14" t="s">
        <v>208</v>
      </c>
    </row>
    <row r="25" spans="1:54" ht="28.8" x14ac:dyDescent="0.3">
      <c r="A25" s="1" t="s">
        <v>165</v>
      </c>
      <c r="B25" s="7" t="str">
        <f t="array" ref="B25:C25">VLOOKUP(A25,'Active List'!C:I,{6,7},0)</f>
        <v>M D Cable(DEL711)</v>
      </c>
      <c r="C25" s="7">
        <v>2</v>
      </c>
      <c r="K25" s="13" t="s">
        <v>165</v>
      </c>
      <c r="L25" s="18">
        <f>INDEX('Active List'!A:A,MATCH(Sheet1!K25,'Active List'!C:C,0))</f>
        <v>85156</v>
      </c>
      <c r="M25" s="18"/>
      <c r="S25" s="3" t="s">
        <v>292</v>
      </c>
      <c r="T25" s="16" t="str">
        <f t="shared" si="1"/>
        <v>2213ICA2-1110436</v>
      </c>
      <c r="U25" s="16" t="str">
        <f t="shared" si="2"/>
        <v>0  1760650606</v>
      </c>
      <c r="W25" s="14" t="s">
        <v>261</v>
      </c>
      <c r="X25" s="16" t="str">
        <f t="shared" si="3"/>
        <v>1515LAXMIBAI NAGAR - 110044 DELHI -INDIA</v>
      </c>
      <c r="BB25" s="14" t="s">
        <v>209</v>
      </c>
    </row>
    <row r="26" spans="1:54" ht="28.8" x14ac:dyDescent="0.3">
      <c r="A26" s="1" t="s">
        <v>119</v>
      </c>
      <c r="B26" s="7" t="str">
        <f t="array" ref="B26:C26">VLOOKUP(A26,'Active List'!C:I,{6,7},0)</f>
        <v>Satellite Channels P. Ltd(DEL701)</v>
      </c>
      <c r="C26" s="7">
        <v>1</v>
      </c>
      <c r="K26" s="13" t="s">
        <v>119</v>
      </c>
      <c r="L26" s="18">
        <f>INDEX('Active List'!A:A,MATCH(Sheet1!K26,'Active List'!C:C,0))</f>
        <v>85157</v>
      </c>
      <c r="M26" s="18"/>
      <c r="S26" s="3" t="s">
        <v>293</v>
      </c>
      <c r="T26" s="16" t="str">
        <f t="shared" si="1"/>
        <v>0718BAU02DS17420</v>
      </c>
      <c r="U26" s="16" t="str">
        <f t="shared" si="2"/>
        <v>0  1760048507</v>
      </c>
      <c r="W26" s="14" t="s">
        <v>120</v>
      </c>
      <c r="X26" s="16" t="str">
        <f t="shared" si="3"/>
        <v>A33 IST FLOOR LAJPAT NAGAR I</v>
      </c>
      <c r="BB26" s="14" t="s">
        <v>210</v>
      </c>
    </row>
    <row r="27" spans="1:54" ht="28.8" x14ac:dyDescent="0.3">
      <c r="A27" s="1" t="s">
        <v>123</v>
      </c>
      <c r="B27" s="7" t="str">
        <f t="array" ref="B27:C27">VLOOKUP(A27,'Active List'!C:I,{6,7},0)</f>
        <v>Satellite Channels P. Ltd(DEL701)</v>
      </c>
      <c r="C27" s="7">
        <v>1</v>
      </c>
      <c r="K27" s="13" t="s">
        <v>123</v>
      </c>
      <c r="L27" s="18">
        <f>INDEX('Active List'!A:A,MATCH(Sheet1!K27,'Active List'!C:C,0))</f>
        <v>85158</v>
      </c>
      <c r="M27" s="18"/>
      <c r="S27" s="3" t="s">
        <v>294</v>
      </c>
      <c r="T27" s="16" t="str">
        <f t="shared" si="1"/>
        <v>2213ICA2-1001730</v>
      </c>
      <c r="U27" s="16" t="str">
        <f t="shared" si="2"/>
        <v>0  1760136613</v>
      </c>
      <c r="W27" s="14" t="s">
        <v>124</v>
      </c>
      <c r="X27" s="16" t="str">
        <f t="shared" si="3"/>
        <v>2B13 2ND FLR LAJPAT NAGAR1</v>
      </c>
      <c r="BB27" s="14" t="s">
        <v>211</v>
      </c>
    </row>
    <row r="28" spans="1:54" ht="28.8" x14ac:dyDescent="0.3">
      <c r="A28" s="1" t="s">
        <v>133</v>
      </c>
      <c r="B28" s="7" t="str">
        <f t="array" ref="B28:C28">VLOOKUP(A28,'Active List'!C:I,{6,7},0)</f>
        <v>Satellite Channels P. Ltd(DEL701)</v>
      </c>
      <c r="C28" s="7">
        <v>1</v>
      </c>
      <c r="K28" s="13" t="s">
        <v>133</v>
      </c>
      <c r="L28" s="18">
        <f>INDEX('Active List'!A:A,MATCH(Sheet1!K28,'Active List'!C:C,0))</f>
        <v>85161</v>
      </c>
      <c r="M28" s="18"/>
      <c r="S28" s="3" t="s">
        <v>295</v>
      </c>
      <c r="T28" s="16" t="str">
        <f t="shared" si="1"/>
        <v>06J8BAR49SM34669</v>
      </c>
      <c r="U28" s="16" t="str">
        <f t="shared" si="2"/>
        <v>0  1760127674</v>
      </c>
      <c r="W28" s="14" t="s">
        <v>134</v>
      </c>
      <c r="X28" s="16" t="str">
        <f t="shared" si="3"/>
        <v>A6 3RD FLOOR EAST OF KAILASH</v>
      </c>
      <c r="BB28" s="14" t="s">
        <v>212</v>
      </c>
    </row>
    <row r="29" spans="1:54" ht="28.8" x14ac:dyDescent="0.3">
      <c r="A29" s="1" t="s">
        <v>135</v>
      </c>
      <c r="B29" s="7" t="str">
        <f t="array" ref="B29:C29">VLOOKUP(A29,'Active List'!C:I,{6,7},0)</f>
        <v>Satellite Channels P. Ltd(DEL701)</v>
      </c>
      <c r="C29" s="7">
        <v>1</v>
      </c>
      <c r="K29" s="13" t="s">
        <v>135</v>
      </c>
      <c r="L29" s="18">
        <f>INDEX('Active List'!A:A,MATCH(Sheet1!K29,'Active List'!C:C,0))</f>
        <v>85162</v>
      </c>
      <c r="M29" s="18"/>
      <c r="S29" s="3" t="s">
        <v>296</v>
      </c>
      <c r="T29" s="16" t="str">
        <f t="shared" si="1"/>
        <v>06J8BAR49SM34670</v>
      </c>
      <c r="U29" s="16" t="str">
        <f t="shared" si="2"/>
        <v>0  1760127675</v>
      </c>
      <c r="W29" s="14" t="s">
        <v>136</v>
      </c>
      <c r="X29" s="16" t="str">
        <f t="shared" si="3"/>
        <v>G39A G/F BACKSIDE EAST OF KAIALSH</v>
      </c>
      <c r="BB29" s="14" t="s">
        <v>213</v>
      </c>
    </row>
    <row r="30" spans="1:54" ht="28.8" x14ac:dyDescent="0.3">
      <c r="A30" s="1" t="s">
        <v>156</v>
      </c>
      <c r="B30" s="7" t="str">
        <f t="array" ref="B30:C30">VLOOKUP(A30,'Active List'!C:I,{6,7},0)</f>
        <v>Satellite Channels P. Ltd(DEL701)</v>
      </c>
      <c r="C30" s="7">
        <v>2</v>
      </c>
      <c r="K30" s="13" t="s">
        <v>156</v>
      </c>
      <c r="L30" s="18">
        <f>INDEX('Active List'!A:A,MATCH(Sheet1!K30,'Active List'!C:C,0))</f>
        <v>85163</v>
      </c>
      <c r="M30" s="18"/>
      <c r="S30" s="3" t="s">
        <v>297</v>
      </c>
      <c r="T30" s="16" t="str">
        <f t="shared" si="1"/>
        <v>06J8BAR49SM34672</v>
      </c>
      <c r="U30" s="16" t="str">
        <f t="shared" si="2"/>
        <v>0  1760386185</v>
      </c>
      <c r="W30" s="14" t="s">
        <v>157</v>
      </c>
      <c r="X30" s="16" t="str">
        <f t="shared" si="3"/>
        <v>B162 EAST OK KAILASH</v>
      </c>
      <c r="BB30" s="14" t="s">
        <v>214</v>
      </c>
    </row>
    <row r="31" spans="1:54" ht="43.2" x14ac:dyDescent="0.3">
      <c r="A31" s="1" t="s">
        <v>71</v>
      </c>
      <c r="B31" s="7" t="str">
        <f t="array" ref="B31:C31">VLOOKUP(A31,'Active List'!C:I,{6,7},0)</f>
        <v>Macwell Marketing Co Pvt Ltd (South Delhi Comm)</v>
      </c>
      <c r="C31" s="7">
        <v>1</v>
      </c>
      <c r="K31" s="13" t="s">
        <v>71</v>
      </c>
      <c r="L31" s="18">
        <f>INDEX('Active List'!A:A,MATCH(Sheet1!K31,'Active List'!C:C,0))</f>
        <v>85165</v>
      </c>
      <c r="M31" s="18"/>
      <c r="S31" s="3" t="s">
        <v>298</v>
      </c>
      <c r="T31" s="16" t="str">
        <f t="shared" si="1"/>
        <v>06J8BAR49SM13392</v>
      </c>
      <c r="U31" s="16" t="str">
        <f t="shared" si="2"/>
        <v>0  1760484650</v>
      </c>
      <c r="W31" s="14" t="s">
        <v>262</v>
      </c>
      <c r="X31" s="16" t="str">
        <f t="shared" si="3"/>
        <v>QTR NO- 140, UTTARAKHAND(SR)JNU - 110067 DELHI (INDIA)</v>
      </c>
      <c r="BB31" s="14" t="s">
        <v>215</v>
      </c>
    </row>
    <row r="32" spans="1:54" ht="43.2" x14ac:dyDescent="0.3">
      <c r="A32" s="1" t="s">
        <v>163</v>
      </c>
      <c r="B32" s="7" t="str">
        <f t="array" ref="B32:C32">VLOOKUP(A32,'Active List'!C:I,{6,7},0)</f>
        <v>Macwell Marketing Co Pvt Ltd (South Delhi Comm)</v>
      </c>
      <c r="C32" s="7">
        <v>2</v>
      </c>
      <c r="K32" s="13" t="s">
        <v>163</v>
      </c>
      <c r="L32" s="18">
        <f>INDEX('Active List'!A:A,MATCH(Sheet1!K32,'Active List'!C:C,0))</f>
        <v>85166</v>
      </c>
      <c r="M32" s="18"/>
      <c r="S32" s="3" t="s">
        <v>299</v>
      </c>
      <c r="T32" s="16" t="str">
        <f t="shared" si="1"/>
        <v>06J8BAR49SM34675</v>
      </c>
      <c r="U32" s="16" t="str">
        <f t="shared" si="2"/>
        <v>0  1760127445</v>
      </c>
      <c r="W32" s="14" t="s">
        <v>263</v>
      </c>
      <c r="X32" s="16" t="str">
        <f t="shared" si="3"/>
        <v xml:space="preserve">ROOM NO 106JNU </v>
      </c>
      <c r="BB32" s="14" t="s">
        <v>216</v>
      </c>
    </row>
    <row r="33" spans="1:54" ht="43.2" x14ac:dyDescent="0.3">
      <c r="A33" s="1" t="s">
        <v>81</v>
      </c>
      <c r="B33" s="7" t="str">
        <f t="array" ref="B33:C33">VLOOKUP(A33,'Active List'!C:I,{6,7},0)</f>
        <v>Macwell Marketing Co Pvt Ltd (South Delhi Comm)</v>
      </c>
      <c r="C33" s="7">
        <v>1</v>
      </c>
      <c r="K33" s="13" t="s">
        <v>81</v>
      </c>
      <c r="L33" s="18">
        <f>INDEX('Active List'!A:A,MATCH(Sheet1!K33,'Active List'!C:C,0))</f>
        <v>85167</v>
      </c>
      <c r="M33" s="18"/>
      <c r="S33" s="3" t="s">
        <v>300</v>
      </c>
      <c r="T33" s="16" t="str">
        <f t="shared" si="1"/>
        <v>06J8BAR49SM34681</v>
      </c>
      <c r="U33" s="16" t="str">
        <f t="shared" si="2"/>
        <v>0  1760132276</v>
      </c>
      <c r="W33" s="14" t="s">
        <v>264</v>
      </c>
      <c r="X33" s="16" t="str">
        <f t="shared" si="3"/>
        <v>Recreation Room IISJNU - 110067 DELHI (INDIA)</v>
      </c>
      <c r="BB33" s="14" t="s">
        <v>217</v>
      </c>
    </row>
    <row r="34" spans="1:54" ht="28.8" x14ac:dyDescent="0.3">
      <c r="A34" s="1" t="s">
        <v>171</v>
      </c>
      <c r="B34" s="7" t="str">
        <f t="array" ref="B34:C34">VLOOKUP(A34,'Active List'!C:I,{6,7},0)</f>
        <v>S.S Communications(DEL702)</v>
      </c>
      <c r="C34" s="7">
        <v>2</v>
      </c>
      <c r="K34" s="13" t="s">
        <v>171</v>
      </c>
      <c r="L34" s="18">
        <f>INDEX('Active List'!A:A,MATCH(Sheet1!K34,'Active List'!C:C,0))</f>
        <v>85171</v>
      </c>
      <c r="M34" s="18"/>
      <c r="S34" s="3" t="s">
        <v>301</v>
      </c>
      <c r="T34" s="16" t="str">
        <f t="shared" si="1"/>
        <v>2213ICA2-1110668</v>
      </c>
      <c r="U34" s="16" t="str">
        <f t="shared" si="2"/>
        <v>0  1760347266</v>
      </c>
      <c r="W34" s="14" t="s">
        <v>172</v>
      </c>
      <c r="X34" s="16" t="str">
        <f t="shared" si="3"/>
        <v>C197 PAL PRALADPUR</v>
      </c>
      <c r="BB34" s="14" t="s">
        <v>218</v>
      </c>
    </row>
    <row r="35" spans="1:54" ht="28.8" x14ac:dyDescent="0.3">
      <c r="A35" s="1" t="s">
        <v>138</v>
      </c>
      <c r="B35" s="7" t="str">
        <f t="array" ref="B35:C35">VLOOKUP(A35,'Active List'!C:I,{6,7},0)</f>
        <v>Satellite Channels P. Ltd(DEL701)</v>
      </c>
      <c r="C35" s="7">
        <v>1</v>
      </c>
      <c r="K35" s="13" t="s">
        <v>138</v>
      </c>
      <c r="L35" s="18">
        <f>INDEX('Active List'!A:A,MATCH(Sheet1!K35,'Active List'!C:C,0))</f>
        <v>85172</v>
      </c>
      <c r="M35" s="18"/>
      <c r="S35" s="3" t="s">
        <v>302</v>
      </c>
      <c r="T35" s="16" t="str">
        <f t="shared" si="1"/>
        <v>06J8BAR49SM34693</v>
      </c>
      <c r="U35" s="16" t="str">
        <f t="shared" si="2"/>
        <v>0  1760128608</v>
      </c>
      <c r="W35" s="14" t="s">
        <v>265</v>
      </c>
      <c r="X35" s="16" t="str">
        <f t="shared" si="3"/>
        <v>39F GALI No5 APB GARHI  - 110065 DELHI (INDIA)</v>
      </c>
      <c r="BB35" s="14" t="s">
        <v>219</v>
      </c>
    </row>
    <row r="36" spans="1:54" ht="43.2" x14ac:dyDescent="0.3">
      <c r="A36" s="1" t="s">
        <v>27</v>
      </c>
      <c r="B36" s="7" t="str">
        <f t="array" ref="B36:C36">VLOOKUP(A36,'Active List'!C:I,{6,7},0)</f>
        <v>Macwell Marketing Co Pvt Ltd (South Delhi Comm)</v>
      </c>
      <c r="C36" s="7">
        <v>1</v>
      </c>
      <c r="K36" s="13" t="s">
        <v>27</v>
      </c>
      <c r="L36" s="18">
        <f>INDEX('Active List'!A:A,MATCH(Sheet1!K36,'Active List'!C:C,0))</f>
        <v>85174</v>
      </c>
      <c r="M36" s="18"/>
      <c r="S36" s="3" t="s">
        <v>303</v>
      </c>
      <c r="T36" s="16" t="str">
        <f t="shared" si="1"/>
        <v>06J8BAR49SM17483</v>
      </c>
      <c r="U36" s="16" t="str">
        <f t="shared" si="2"/>
        <v>0  1760142477</v>
      </c>
      <c r="W36" s="14" t="s">
        <v>266</v>
      </c>
      <c r="X36" s="16" t="str">
        <f t="shared" si="3"/>
        <v>26,1,st.FLOOR,ARJUN NAGARNEW-DELHI - 110029 DELHI (INDIA)</v>
      </c>
      <c r="BB36" s="14" t="s">
        <v>220</v>
      </c>
    </row>
    <row r="37" spans="1:54" ht="43.2" x14ac:dyDescent="0.3">
      <c r="A37" s="1" t="s">
        <v>161</v>
      </c>
      <c r="B37" s="7" t="str">
        <f t="array" ref="B37:C37">VLOOKUP(A37,'Active List'!C:I,{6,7},0)</f>
        <v>Macwell Marketing Co Pvt Ltd (South Delhi Comm)</v>
      </c>
      <c r="C37" s="7">
        <v>2</v>
      </c>
      <c r="K37" s="13" t="s">
        <v>161</v>
      </c>
      <c r="L37" s="18">
        <f>INDEX('Active List'!A:A,MATCH(Sheet1!K37,'Active List'!C:C,0))</f>
        <v>85175</v>
      </c>
      <c r="M37" s="18"/>
      <c r="S37" s="3" t="s">
        <v>304</v>
      </c>
      <c r="T37" s="16" t="str">
        <f t="shared" si="1"/>
        <v>2213ICA2-1004949</v>
      </c>
      <c r="U37" s="16" t="str">
        <f t="shared" si="2"/>
        <v>0  1740013626</v>
      </c>
      <c r="W37" s="14" t="s">
        <v>162</v>
      </c>
      <c r="X37" s="16" t="str">
        <f t="shared" si="3"/>
        <v>39 GROUND FLOORARJUN NAGAR</v>
      </c>
      <c r="BB37" s="14" t="s">
        <v>221</v>
      </c>
    </row>
    <row r="38" spans="1:54" ht="28.8" x14ac:dyDescent="0.3">
      <c r="A38" s="1" t="s">
        <v>173</v>
      </c>
      <c r="B38" s="7" t="str">
        <f t="array" ref="B38:C38">VLOOKUP(A38,'Active List'!C:I,{6,7},0)</f>
        <v>Satellite Channels P. Ltd(DEL701)</v>
      </c>
      <c r="C38" s="7">
        <v>2</v>
      </c>
      <c r="K38" s="13" t="s">
        <v>173</v>
      </c>
      <c r="L38" s="18">
        <f>INDEX('Active List'!A:A,MATCH(Sheet1!K38,'Active List'!C:C,0))</f>
        <v>85176</v>
      </c>
      <c r="M38" s="18"/>
      <c r="S38" s="3" t="s">
        <v>305</v>
      </c>
      <c r="T38" s="16" t="str">
        <f t="shared" si="1"/>
        <v>06J8BAR49SM34703</v>
      </c>
      <c r="U38" s="16" t="str">
        <f t="shared" si="2"/>
        <v>0  1760127503</v>
      </c>
      <c r="W38" s="14" t="s">
        <v>267</v>
      </c>
      <c r="X38" s="16" t="str">
        <f t="shared" si="3"/>
        <v>4/27GF NEHRU NAGAR - 110065 DELHI -INDIA</v>
      </c>
      <c r="BB38" s="14" t="s">
        <v>222</v>
      </c>
    </row>
    <row r="39" spans="1:54" ht="28.8" x14ac:dyDescent="0.3">
      <c r="A39" s="1" t="s">
        <v>126</v>
      </c>
      <c r="B39" s="7" t="str">
        <f t="array" ref="B39:C39">VLOOKUP(A39,'Active List'!C:I,{6,7},0)</f>
        <v>Satellite Channels P. Ltd(DEL701)</v>
      </c>
      <c r="C39" s="7">
        <v>1</v>
      </c>
      <c r="K39" s="13" t="s">
        <v>126</v>
      </c>
      <c r="L39" s="18">
        <f>INDEX('Active List'!A:A,MATCH(Sheet1!K39,'Active List'!C:C,0))</f>
        <v>85177</v>
      </c>
      <c r="M39" s="18"/>
      <c r="S39" s="3" t="s">
        <v>306</v>
      </c>
      <c r="T39" s="16" t="str">
        <f t="shared" si="1"/>
        <v>2213ICA2-1122828</v>
      </c>
      <c r="U39" s="16" t="str">
        <f t="shared" si="2"/>
        <v>0  1760228184</v>
      </c>
      <c r="W39" s="14" t="s">
        <v>127</v>
      </c>
      <c r="X39" s="16" t="str">
        <f t="shared" si="3"/>
        <v>S70/80 JAL VIHAR</v>
      </c>
      <c r="BB39" s="14" t="s">
        <v>223</v>
      </c>
    </row>
    <row r="40" spans="1:54" ht="43.2" x14ac:dyDescent="0.3">
      <c r="A40" s="1" t="s">
        <v>52</v>
      </c>
      <c r="B40" s="7" t="str">
        <f t="array" ref="B40:C40">VLOOKUP(A40,'Active List'!C:I,{6,7},0)</f>
        <v>Macwell Marketing Co Pvt Ltd (South Delhi Comm)</v>
      </c>
      <c r="C40" s="7">
        <v>1</v>
      </c>
      <c r="K40" s="13" t="s">
        <v>52</v>
      </c>
      <c r="L40" s="18">
        <f>INDEX('Active List'!A:A,MATCH(Sheet1!K40,'Active List'!C:C,0))</f>
        <v>85179</v>
      </c>
      <c r="M40" s="18"/>
      <c r="S40" s="3" t="s">
        <v>307</v>
      </c>
      <c r="T40" s="16" t="str">
        <f t="shared" si="1"/>
        <v>06J8BAR49SM27718</v>
      </c>
      <c r="U40" s="16" t="str">
        <f t="shared" si="2"/>
        <v>0  1760483879</v>
      </c>
      <c r="W40" s="14" t="s">
        <v>53</v>
      </c>
      <c r="X40" s="16" t="str">
        <f t="shared" si="3"/>
        <v>E37FFHAUZ KHAS</v>
      </c>
      <c r="BB40" s="14" t="s">
        <v>224</v>
      </c>
    </row>
    <row r="41" spans="1:54" ht="43.2" x14ac:dyDescent="0.3">
      <c r="A41" s="1" t="s">
        <v>61</v>
      </c>
      <c r="B41" s="7" t="str">
        <f t="array" ref="B41:C41">VLOOKUP(A41,'Active List'!C:I,{6,7},0)</f>
        <v>Macwell Marketing Co Pvt Ltd (South Delhi Comm)</v>
      </c>
      <c r="C41" s="7">
        <v>1</v>
      </c>
      <c r="K41" s="13" t="s">
        <v>61</v>
      </c>
      <c r="L41" s="18">
        <f>INDEX('Active List'!A:A,MATCH(Sheet1!K41,'Active List'!C:C,0))</f>
        <v>85180</v>
      </c>
      <c r="M41" s="18"/>
      <c r="S41" s="3" t="s">
        <v>308</v>
      </c>
      <c r="T41" s="16" t="str">
        <f t="shared" si="1"/>
        <v>2213ICA2-1061769</v>
      </c>
      <c r="U41" s="16" t="str">
        <f t="shared" si="2"/>
        <v>0  1760220707</v>
      </c>
      <c r="W41" s="14" t="s">
        <v>268</v>
      </c>
      <c r="X41" s="16" t="str">
        <f t="shared" si="3"/>
        <v>12/227 LODHI COLONY</v>
      </c>
      <c r="BB41" s="14" t="s">
        <v>225</v>
      </c>
    </row>
    <row r="42" spans="1:54" ht="43.2" x14ac:dyDescent="0.3">
      <c r="A42" s="1" t="s">
        <v>83</v>
      </c>
      <c r="B42" s="7" t="str">
        <f t="array" ref="B42:C42">VLOOKUP(A42,'Active List'!C:I,{6,7},0)</f>
        <v>Macwell Marketing Co Pvt Ltd (South Delhi Comm)</v>
      </c>
      <c r="C42" s="7">
        <v>1</v>
      </c>
      <c r="K42" s="13" t="s">
        <v>83</v>
      </c>
      <c r="L42" s="18">
        <f>INDEX('Active List'!A:A,MATCH(Sheet1!K42,'Active List'!C:C,0))</f>
        <v>85187</v>
      </c>
      <c r="M42" s="18"/>
      <c r="S42" s="3" t="s">
        <v>309</v>
      </c>
      <c r="T42" s="16" t="str">
        <f t="shared" si="1"/>
        <v>06J8BAR49SM34725</v>
      </c>
      <c r="U42" s="16" t="str">
        <f t="shared" si="2"/>
        <v>0  1760035330</v>
      </c>
      <c r="W42" s="14" t="s">
        <v>269</v>
      </c>
      <c r="X42" s="16" t="str">
        <f t="shared" si="3"/>
        <v>J-42, Sarojini Nagar - 110023 DELHI (INDIA)</v>
      </c>
      <c r="BB42" s="14" t="s">
        <v>226</v>
      </c>
    </row>
    <row r="43" spans="1:54" ht="43.2" x14ac:dyDescent="0.3">
      <c r="A43" s="1" t="s">
        <v>104</v>
      </c>
      <c r="B43" s="7" t="str">
        <f t="array" ref="B43:C43">VLOOKUP(A43,'Active List'!C:I,{6,7},0)</f>
        <v>Satellite Channels P. Ltd(DEL701)</v>
      </c>
      <c r="C43" s="7">
        <v>1</v>
      </c>
      <c r="K43" s="13" t="s">
        <v>104</v>
      </c>
      <c r="L43" s="18">
        <f>INDEX('Active List'!A:A,MATCH(Sheet1!K43,'Active List'!C:C,0))</f>
        <v>85188</v>
      </c>
      <c r="M43" s="18"/>
      <c r="S43" s="3" t="s">
        <v>310</v>
      </c>
      <c r="T43" s="16" t="str">
        <f t="shared" si="1"/>
        <v>2213ICA2-1082314</v>
      </c>
      <c r="U43" s="16" t="str">
        <f t="shared" si="2"/>
        <v>0  1760650941</v>
      </c>
      <c r="W43" s="14" t="s">
        <v>105</v>
      </c>
      <c r="X43" s="16" t="str">
        <f t="shared" si="3"/>
        <v>5/29 1ST FLOOR JANGPURA B</v>
      </c>
      <c r="BB43" s="14" t="s">
        <v>227</v>
      </c>
    </row>
    <row r="44" spans="1:54" ht="28.8" x14ac:dyDescent="0.3">
      <c r="A44" s="1" t="s">
        <v>85</v>
      </c>
      <c r="B44" s="7" t="str">
        <f t="array" ref="B44:C44">VLOOKUP(A44,'Active List'!C:I,{6,7},0)</f>
        <v>Satellite Channels P. Ltd(DEL701)</v>
      </c>
      <c r="C44" s="7">
        <v>1</v>
      </c>
      <c r="K44" s="13" t="s">
        <v>85</v>
      </c>
      <c r="L44" s="18">
        <f>INDEX('Active List'!A:A,MATCH(Sheet1!K44,'Active List'!C:C,0))</f>
        <v>85189</v>
      </c>
      <c r="M44" s="18"/>
      <c r="S44" s="3" t="s">
        <v>311</v>
      </c>
      <c r="T44" s="16" t="str">
        <f t="shared" si="1"/>
        <v>06J8BAR49SM34727</v>
      </c>
      <c r="U44" s="16" t="str">
        <f t="shared" si="2"/>
        <v>0  1760127177</v>
      </c>
      <c r="W44" s="14" t="s">
        <v>86</v>
      </c>
      <c r="X44" s="16" t="str">
        <f t="shared" si="3"/>
        <v>C16 FIRST FLOOR JANGPURA B</v>
      </c>
      <c r="BB44" s="14" t="s">
        <v>228</v>
      </c>
    </row>
    <row r="45" spans="1:54" ht="28.8" x14ac:dyDescent="0.3">
      <c r="A45" s="1" t="s">
        <v>150</v>
      </c>
      <c r="B45" s="7" t="str">
        <f t="array" ref="B45:C45">VLOOKUP(A45,'Active List'!C:I,{6,7},0)</f>
        <v>Satellite Channels P. Ltd(DEL701)</v>
      </c>
      <c r="C45" s="7">
        <v>1</v>
      </c>
      <c r="K45" s="13" t="s">
        <v>150</v>
      </c>
      <c r="L45" s="18">
        <f>INDEX('Active List'!A:A,MATCH(Sheet1!K45,'Active List'!C:C,0))</f>
        <v>85190</v>
      </c>
      <c r="M45" s="18"/>
      <c r="S45" s="3" t="s">
        <v>312</v>
      </c>
      <c r="T45" s="16" t="str">
        <f t="shared" si="1"/>
        <v>2213ICA2-1002492</v>
      </c>
      <c r="U45" s="16" t="str">
        <f t="shared" si="2"/>
        <v>0  1760138155</v>
      </c>
      <c r="W45" s="14" t="s">
        <v>151</v>
      </c>
      <c r="X45" s="16" t="str">
        <f t="shared" si="3"/>
        <v>16A SFS DDA FLATS BLOCKB EAST OF KAILASH</v>
      </c>
      <c r="BB45" s="14" t="s">
        <v>229</v>
      </c>
    </row>
    <row r="46" spans="1:54" ht="28.8" x14ac:dyDescent="0.3">
      <c r="A46" s="1" t="s">
        <v>77</v>
      </c>
      <c r="B46" s="7" t="str">
        <f t="array" ref="B46:C46">VLOOKUP(A46,'Active List'!C:I,{6,7},0)</f>
        <v>Satellite Channels P. Ltd(DEL701)</v>
      </c>
      <c r="C46" s="7">
        <v>1</v>
      </c>
      <c r="K46" s="13" t="s">
        <v>77</v>
      </c>
      <c r="L46" s="18">
        <f>INDEX('Active List'!A:A,MATCH(Sheet1!K46,'Active List'!C:C,0))</f>
        <v>85194</v>
      </c>
      <c r="M46" s="18"/>
      <c r="S46" s="3" t="s">
        <v>313</v>
      </c>
      <c r="T46" s="16" t="str">
        <f t="shared" si="1"/>
        <v>06J8BAR49SM29743</v>
      </c>
      <c r="U46" s="16" t="str">
        <f t="shared" si="2"/>
        <v>0  1760650746</v>
      </c>
      <c r="W46" s="14" t="s">
        <v>78</v>
      </c>
      <c r="X46" s="16" t="str">
        <f t="shared" si="3"/>
        <v>2/8B JUNGPURA</v>
      </c>
      <c r="BB46" s="14" t="s">
        <v>230</v>
      </c>
    </row>
  </sheetData>
  <mergeCells count="11">
    <mergeCell ref="AW1:AZ1"/>
    <mergeCell ref="E1:I1"/>
    <mergeCell ref="AH1:AP1"/>
    <mergeCell ref="A1:C1"/>
    <mergeCell ref="K1:M1"/>
    <mergeCell ref="O1:Q1"/>
    <mergeCell ref="S1:U1"/>
    <mergeCell ref="Z1:AC1"/>
    <mergeCell ref="AR1:AS1"/>
    <mergeCell ref="AE1:AF1"/>
    <mergeCell ref="W1:X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zoomScale="90" zoomScaleNormal="90" workbookViewId="0">
      <pane ySplit="1" topLeftCell="A2" activePane="bottomLeft" state="frozen"/>
      <selection pane="bottomLeft" activeCell="R5" sqref="R5"/>
    </sheetView>
  </sheetViews>
  <sheetFormatPr defaultRowHeight="14.4" x14ac:dyDescent="0.3"/>
  <cols>
    <col min="1" max="1" width="7.6640625" bestFit="1" customWidth="1"/>
    <col min="2" max="2" width="26.88671875" bestFit="1" customWidth="1"/>
    <col min="3" max="3" width="18.6640625" bestFit="1" customWidth="1"/>
    <col min="4" max="4" width="11" bestFit="1" customWidth="1"/>
    <col min="5" max="5" width="12.33203125" bestFit="1" customWidth="1"/>
    <col min="6" max="6" width="44.5546875" bestFit="1" customWidth="1"/>
    <col min="7" max="7" width="18.5546875" bestFit="1" customWidth="1"/>
    <col min="8" max="8" width="46.5546875" bestFit="1" customWidth="1"/>
    <col min="9" max="9" width="8.6640625" bestFit="1" customWidth="1"/>
    <col min="10" max="10" width="15.109375" bestFit="1" customWidth="1"/>
    <col min="11" max="11" width="17" bestFit="1" customWidth="1"/>
    <col min="12" max="12" width="14.88671875" bestFit="1" customWidth="1"/>
    <col min="13" max="13" width="94" bestFit="1" customWidth="1"/>
    <col min="14" max="14" width="8.5546875" bestFit="1" customWidth="1"/>
  </cols>
  <sheetData>
    <row r="1" spans="1:14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</row>
    <row r="2" spans="1:14" x14ac:dyDescent="0.3">
      <c r="A2" s="1">
        <v>83222</v>
      </c>
      <c r="B2" s="1" t="s">
        <v>62</v>
      </c>
      <c r="C2" s="1" t="s">
        <v>63</v>
      </c>
      <c r="D2" s="1">
        <v>1760105267</v>
      </c>
      <c r="E2" s="1">
        <v>3159</v>
      </c>
      <c r="F2" s="1" t="s">
        <v>24</v>
      </c>
      <c r="G2" s="1">
        <v>330</v>
      </c>
      <c r="H2" s="1" t="s">
        <v>25</v>
      </c>
      <c r="I2" s="1">
        <v>1</v>
      </c>
      <c r="J2" s="1" t="s">
        <v>16</v>
      </c>
      <c r="K2" s="1">
        <v>9868170779</v>
      </c>
      <c r="L2" s="1">
        <v>1282922</v>
      </c>
      <c r="M2" s="1" t="s">
        <v>64</v>
      </c>
      <c r="N2" s="1">
        <v>1</v>
      </c>
    </row>
    <row r="3" spans="1:14" x14ac:dyDescent="0.3">
      <c r="A3" s="1">
        <v>83340</v>
      </c>
      <c r="B3" s="1" t="s">
        <v>17</v>
      </c>
      <c r="C3" s="1" t="s">
        <v>18</v>
      </c>
      <c r="D3" s="1">
        <v>1760347043</v>
      </c>
      <c r="E3" s="1">
        <v>3146</v>
      </c>
      <c r="F3" s="1" t="s">
        <v>19</v>
      </c>
      <c r="G3" s="1">
        <v>325</v>
      </c>
      <c r="H3" s="1" t="s">
        <v>15</v>
      </c>
      <c r="I3" s="1">
        <v>1</v>
      </c>
      <c r="J3" s="1" t="s">
        <v>16</v>
      </c>
      <c r="K3" s="1">
        <v>9910491120</v>
      </c>
      <c r="L3" s="1">
        <v>161438</v>
      </c>
      <c r="M3" s="1" t="s">
        <v>20</v>
      </c>
      <c r="N3" s="1">
        <v>1</v>
      </c>
    </row>
    <row r="4" spans="1:14" x14ac:dyDescent="0.3">
      <c r="A4" s="1">
        <v>83540</v>
      </c>
      <c r="B4" s="1" t="s">
        <v>39</v>
      </c>
      <c r="C4" s="1" t="s">
        <v>59</v>
      </c>
      <c r="D4" s="1">
        <v>1760420917</v>
      </c>
      <c r="E4" s="1">
        <v>3155</v>
      </c>
      <c r="F4" s="1" t="s">
        <v>41</v>
      </c>
      <c r="G4" s="1">
        <v>324</v>
      </c>
      <c r="H4" s="1" t="s">
        <v>31</v>
      </c>
      <c r="I4" s="1">
        <v>1</v>
      </c>
      <c r="J4" s="1" t="s">
        <v>16</v>
      </c>
      <c r="K4" s="1">
        <v>9911100112</v>
      </c>
      <c r="L4" s="1">
        <v>79526</v>
      </c>
      <c r="M4" s="1" t="s">
        <v>60</v>
      </c>
      <c r="N4" s="1">
        <v>1</v>
      </c>
    </row>
    <row r="5" spans="1:14" x14ac:dyDescent="0.3">
      <c r="A5" s="1">
        <v>83541</v>
      </c>
      <c r="B5" s="1" t="s">
        <v>48</v>
      </c>
      <c r="C5" s="1" t="s">
        <v>49</v>
      </c>
      <c r="D5" s="1">
        <v>1760465717</v>
      </c>
      <c r="E5" s="1">
        <v>2887</v>
      </c>
      <c r="F5" s="1" t="s">
        <v>38</v>
      </c>
      <c r="G5" s="1">
        <v>325</v>
      </c>
      <c r="H5" s="1" t="s">
        <v>15</v>
      </c>
      <c r="I5" s="1">
        <v>1</v>
      </c>
      <c r="J5" s="1" t="s">
        <v>16</v>
      </c>
      <c r="K5" s="1">
        <v>9968360716</v>
      </c>
      <c r="L5" s="1">
        <v>158936</v>
      </c>
      <c r="M5" s="1" t="s">
        <v>50</v>
      </c>
      <c r="N5" s="1">
        <v>1</v>
      </c>
    </row>
    <row r="6" spans="1:14" x14ac:dyDescent="0.3">
      <c r="A6" s="1">
        <v>83764</v>
      </c>
      <c r="B6" s="1" t="s">
        <v>175</v>
      </c>
      <c r="C6" s="1" t="s">
        <v>176</v>
      </c>
      <c r="D6" s="1">
        <v>1760344903</v>
      </c>
      <c r="E6" s="1">
        <v>3149</v>
      </c>
      <c r="F6" s="1" t="s">
        <v>177</v>
      </c>
      <c r="G6" s="1">
        <v>324</v>
      </c>
      <c r="H6" s="1" t="s">
        <v>31</v>
      </c>
      <c r="I6" s="1">
        <v>2</v>
      </c>
      <c r="J6" s="1" t="s">
        <v>145</v>
      </c>
      <c r="K6" s="1"/>
      <c r="L6" s="1">
        <v>170109</v>
      </c>
      <c r="M6" s="1" t="s">
        <v>178</v>
      </c>
      <c r="N6" s="1"/>
    </row>
    <row r="7" spans="1:14" x14ac:dyDescent="0.3">
      <c r="A7" s="1">
        <v>83811</v>
      </c>
      <c r="B7" s="1" t="s">
        <v>114</v>
      </c>
      <c r="C7" s="1" t="s">
        <v>115</v>
      </c>
      <c r="D7" s="1">
        <v>1760347846</v>
      </c>
      <c r="E7" s="1">
        <v>4757</v>
      </c>
      <c r="F7" s="1" t="s">
        <v>69</v>
      </c>
      <c r="G7" s="1">
        <v>320</v>
      </c>
      <c r="H7" s="1" t="s">
        <v>21</v>
      </c>
      <c r="I7" s="1">
        <v>1</v>
      </c>
      <c r="J7" s="1" t="s">
        <v>16</v>
      </c>
      <c r="K7" s="1">
        <v>1129816876</v>
      </c>
      <c r="L7" s="1">
        <v>97419</v>
      </c>
      <c r="M7" s="1" t="s">
        <v>116</v>
      </c>
      <c r="N7" s="1">
        <v>1</v>
      </c>
    </row>
    <row r="8" spans="1:14" x14ac:dyDescent="0.3">
      <c r="A8" s="1">
        <v>84077</v>
      </c>
      <c r="B8" s="1" t="s">
        <v>22</v>
      </c>
      <c r="C8" s="1" t="s">
        <v>158</v>
      </c>
      <c r="D8" s="1">
        <v>1760447627</v>
      </c>
      <c r="E8" s="1">
        <v>2876</v>
      </c>
      <c r="F8" s="1" t="s">
        <v>14</v>
      </c>
      <c r="G8" s="1">
        <v>325</v>
      </c>
      <c r="H8" s="1" t="s">
        <v>15</v>
      </c>
      <c r="I8" s="1">
        <v>2</v>
      </c>
      <c r="J8" s="1" t="s">
        <v>140</v>
      </c>
      <c r="K8" s="1">
        <v>9810499577</v>
      </c>
      <c r="L8" s="1">
        <v>174778</v>
      </c>
      <c r="M8" s="1" t="s">
        <v>159</v>
      </c>
      <c r="N8" s="1"/>
    </row>
    <row r="9" spans="1:14" x14ac:dyDescent="0.3">
      <c r="A9" s="1">
        <v>84131</v>
      </c>
      <c r="B9" s="1" t="s">
        <v>97</v>
      </c>
      <c r="C9" s="1" t="s">
        <v>98</v>
      </c>
      <c r="D9" s="1">
        <v>1761333827</v>
      </c>
      <c r="E9" s="1">
        <v>4300</v>
      </c>
      <c r="F9" s="1" t="s">
        <v>36</v>
      </c>
      <c r="G9" s="1">
        <v>324</v>
      </c>
      <c r="H9" s="1" t="s">
        <v>31</v>
      </c>
      <c r="I9" s="1">
        <v>1</v>
      </c>
      <c r="J9" s="1" t="s">
        <v>16</v>
      </c>
      <c r="K9" s="1">
        <v>9582149249</v>
      </c>
      <c r="L9" s="1">
        <v>84131</v>
      </c>
      <c r="M9" s="1" t="s">
        <v>99</v>
      </c>
      <c r="N9" s="1">
        <v>1</v>
      </c>
    </row>
    <row r="10" spans="1:14" x14ac:dyDescent="0.3">
      <c r="A10" s="1">
        <v>84259</v>
      </c>
      <c r="B10" s="1" t="s">
        <v>73</v>
      </c>
      <c r="C10" s="1" t="s">
        <v>74</v>
      </c>
      <c r="D10" s="1">
        <v>1760134838</v>
      </c>
      <c r="E10" s="1">
        <v>2933</v>
      </c>
      <c r="F10" s="1" t="s">
        <v>68</v>
      </c>
      <c r="G10" s="1">
        <v>320</v>
      </c>
      <c r="H10" s="1" t="s">
        <v>21</v>
      </c>
      <c r="I10" s="1">
        <v>1</v>
      </c>
      <c r="J10" s="1" t="s">
        <v>16</v>
      </c>
      <c r="K10" s="1">
        <v>9311681419</v>
      </c>
      <c r="L10" s="1">
        <v>34941</v>
      </c>
      <c r="M10" s="1" t="s">
        <v>75</v>
      </c>
      <c r="N10" s="1">
        <v>1</v>
      </c>
    </row>
    <row r="11" spans="1:14" x14ac:dyDescent="0.3">
      <c r="A11" s="1">
        <v>84389</v>
      </c>
      <c r="B11" s="1" t="s">
        <v>92</v>
      </c>
      <c r="C11" s="1" t="s">
        <v>93</v>
      </c>
      <c r="D11" s="1">
        <v>1760203666</v>
      </c>
      <c r="E11" s="1">
        <v>3159</v>
      </c>
      <c r="F11" s="1" t="s">
        <v>24</v>
      </c>
      <c r="G11" s="1">
        <v>330</v>
      </c>
      <c r="H11" s="1" t="s">
        <v>25</v>
      </c>
      <c r="I11" s="1">
        <v>1</v>
      </c>
      <c r="J11" s="1" t="s">
        <v>16</v>
      </c>
      <c r="K11" s="1">
        <v>9958773564</v>
      </c>
      <c r="L11" s="1">
        <v>1282923</v>
      </c>
      <c r="M11" s="1" t="s">
        <v>94</v>
      </c>
      <c r="N11" s="1">
        <v>1</v>
      </c>
    </row>
    <row r="12" spans="1:14" x14ac:dyDescent="0.3">
      <c r="A12" s="1">
        <v>84390</v>
      </c>
      <c r="B12" s="1" t="s">
        <v>55</v>
      </c>
      <c r="C12" s="1" t="s">
        <v>100</v>
      </c>
      <c r="D12" s="1">
        <v>1760597792</v>
      </c>
      <c r="E12" s="1">
        <v>3159</v>
      </c>
      <c r="F12" s="1" t="s">
        <v>24</v>
      </c>
      <c r="G12" s="1">
        <v>330</v>
      </c>
      <c r="H12" s="1" t="s">
        <v>25</v>
      </c>
      <c r="I12" s="1">
        <v>1</v>
      </c>
      <c r="J12" s="1" t="s">
        <v>16</v>
      </c>
      <c r="K12" s="1">
        <v>9953751732</v>
      </c>
      <c r="L12" s="1">
        <v>1282924</v>
      </c>
      <c r="M12" s="1" t="s">
        <v>101</v>
      </c>
      <c r="N12" s="1">
        <v>1</v>
      </c>
    </row>
    <row r="13" spans="1:14" x14ac:dyDescent="0.3">
      <c r="A13" s="1">
        <v>84392</v>
      </c>
      <c r="B13" s="1" t="s">
        <v>47</v>
      </c>
      <c r="C13" s="1" t="s">
        <v>79</v>
      </c>
      <c r="D13" s="1">
        <v>1760344576</v>
      </c>
      <c r="E13" s="1">
        <v>3159</v>
      </c>
      <c r="F13" s="1" t="s">
        <v>24</v>
      </c>
      <c r="G13" s="1">
        <v>330</v>
      </c>
      <c r="H13" s="1" t="s">
        <v>25</v>
      </c>
      <c r="I13" s="1">
        <v>1</v>
      </c>
      <c r="J13" s="1" t="s">
        <v>16</v>
      </c>
      <c r="K13" s="1">
        <v>9871242672</v>
      </c>
      <c r="L13" s="1">
        <v>1282925</v>
      </c>
      <c r="M13" s="1" t="s">
        <v>80</v>
      </c>
      <c r="N13" s="1">
        <v>1</v>
      </c>
    </row>
    <row r="14" spans="1:14" x14ac:dyDescent="0.3">
      <c r="A14" s="1">
        <v>84393</v>
      </c>
      <c r="B14" s="1" t="s">
        <v>88</v>
      </c>
      <c r="C14" s="1" t="s">
        <v>89</v>
      </c>
      <c r="D14" s="1">
        <v>1760421982</v>
      </c>
      <c r="E14" s="1">
        <v>3159</v>
      </c>
      <c r="F14" s="1" t="s">
        <v>24</v>
      </c>
      <c r="G14" s="1">
        <v>330</v>
      </c>
      <c r="H14" s="1" t="s">
        <v>25</v>
      </c>
      <c r="I14" s="1">
        <v>1</v>
      </c>
      <c r="J14" s="1" t="s">
        <v>16</v>
      </c>
      <c r="K14" s="1">
        <v>9868264453</v>
      </c>
      <c r="L14" s="1">
        <v>1282926</v>
      </c>
      <c r="M14" s="1" t="s">
        <v>90</v>
      </c>
      <c r="N14" s="1">
        <v>1</v>
      </c>
    </row>
    <row r="15" spans="1:14" x14ac:dyDescent="0.3">
      <c r="A15" s="1">
        <v>84721</v>
      </c>
      <c r="B15" s="1" t="s">
        <v>23</v>
      </c>
      <c r="C15" s="1" t="s">
        <v>95</v>
      </c>
      <c r="D15" s="1">
        <v>1760570248</v>
      </c>
      <c r="E15" s="1">
        <v>2924</v>
      </c>
      <c r="F15" s="1" t="s">
        <v>35</v>
      </c>
      <c r="G15" s="1">
        <v>320</v>
      </c>
      <c r="H15" s="1" t="s">
        <v>21</v>
      </c>
      <c r="I15" s="1">
        <v>1</v>
      </c>
      <c r="J15" s="1" t="s">
        <v>16</v>
      </c>
      <c r="K15" s="1">
        <v>9971950672</v>
      </c>
      <c r="L15" s="1">
        <v>125023</v>
      </c>
      <c r="M15" s="1" t="s">
        <v>96</v>
      </c>
      <c r="N15" s="1">
        <v>1</v>
      </c>
    </row>
    <row r="16" spans="1:14" x14ac:dyDescent="0.3">
      <c r="A16" s="1">
        <v>84743</v>
      </c>
      <c r="B16" s="1" t="s">
        <v>34</v>
      </c>
      <c r="C16" s="1" t="s">
        <v>153</v>
      </c>
      <c r="D16" s="1">
        <v>1760660851</v>
      </c>
      <c r="E16" s="1">
        <v>2901</v>
      </c>
      <c r="F16" s="1" t="s">
        <v>91</v>
      </c>
      <c r="G16" s="1">
        <v>320</v>
      </c>
      <c r="H16" s="1" t="s">
        <v>21</v>
      </c>
      <c r="I16" s="1">
        <v>2</v>
      </c>
      <c r="J16" s="1" t="s">
        <v>143</v>
      </c>
      <c r="K16" s="1">
        <v>9810163057</v>
      </c>
      <c r="L16" s="1">
        <v>174216</v>
      </c>
      <c r="M16" s="1" t="s">
        <v>154</v>
      </c>
      <c r="N16" s="1"/>
    </row>
    <row r="17" spans="1:14" x14ac:dyDescent="0.3">
      <c r="A17" s="1">
        <v>84992</v>
      </c>
      <c r="B17" s="1" t="s">
        <v>106</v>
      </c>
      <c r="C17" s="1" t="s">
        <v>107</v>
      </c>
      <c r="D17" s="1">
        <v>1760348286</v>
      </c>
      <c r="E17" s="1">
        <v>2869</v>
      </c>
      <c r="F17" s="1" t="s">
        <v>66</v>
      </c>
      <c r="G17" s="1">
        <v>325</v>
      </c>
      <c r="H17" s="1" t="s">
        <v>15</v>
      </c>
      <c r="I17" s="1">
        <v>1</v>
      </c>
      <c r="J17" s="1" t="s">
        <v>16</v>
      </c>
      <c r="K17" s="1">
        <v>9211248978</v>
      </c>
      <c r="L17" s="1">
        <v>734217</v>
      </c>
      <c r="M17" s="1" t="s">
        <v>108</v>
      </c>
      <c r="N17" s="1">
        <v>1</v>
      </c>
    </row>
    <row r="18" spans="1:14" x14ac:dyDescent="0.3">
      <c r="A18" s="1">
        <v>85098</v>
      </c>
      <c r="B18" s="1" t="s">
        <v>128</v>
      </c>
      <c r="C18" s="1" t="s">
        <v>130</v>
      </c>
      <c r="D18" s="1">
        <v>1760015213</v>
      </c>
      <c r="E18" s="1">
        <v>2926</v>
      </c>
      <c r="F18" s="1" t="s">
        <v>110</v>
      </c>
      <c r="G18" s="1">
        <v>320</v>
      </c>
      <c r="H18" s="1" t="s">
        <v>21</v>
      </c>
      <c r="I18" s="1">
        <v>1</v>
      </c>
      <c r="J18" s="1" t="s">
        <v>16</v>
      </c>
      <c r="K18" s="1">
        <v>9810006996</v>
      </c>
      <c r="L18" s="1">
        <v>10412</v>
      </c>
      <c r="M18" s="1" t="s">
        <v>131</v>
      </c>
      <c r="N18" s="1">
        <v>1</v>
      </c>
    </row>
    <row r="19" spans="1:14" x14ac:dyDescent="0.3">
      <c r="A19" s="1">
        <v>85149</v>
      </c>
      <c r="B19" s="1" t="s">
        <v>179</v>
      </c>
      <c r="C19" s="1" t="s">
        <v>180</v>
      </c>
      <c r="D19" s="1">
        <v>1760192281</v>
      </c>
      <c r="E19" s="1">
        <v>4757</v>
      </c>
      <c r="F19" s="1" t="s">
        <v>69</v>
      </c>
      <c r="G19" s="1">
        <v>320</v>
      </c>
      <c r="H19" s="1" t="s">
        <v>21</v>
      </c>
      <c r="I19" s="1">
        <v>2</v>
      </c>
      <c r="J19" s="1" t="s">
        <v>42</v>
      </c>
      <c r="K19" s="1">
        <v>9818434760</v>
      </c>
      <c r="L19" s="1">
        <v>111102</v>
      </c>
      <c r="M19" s="1" t="s">
        <v>181</v>
      </c>
      <c r="N19" s="1"/>
    </row>
    <row r="20" spans="1:14" x14ac:dyDescent="0.3">
      <c r="A20" s="1">
        <v>85151</v>
      </c>
      <c r="B20" s="1" t="s">
        <v>112</v>
      </c>
      <c r="C20" s="1" t="s">
        <v>121</v>
      </c>
      <c r="D20" s="1">
        <v>1760669008</v>
      </c>
      <c r="E20" s="1">
        <v>4757</v>
      </c>
      <c r="F20" s="1" t="s">
        <v>69</v>
      </c>
      <c r="G20" s="1">
        <v>320</v>
      </c>
      <c r="H20" s="1" t="s">
        <v>21</v>
      </c>
      <c r="I20" s="1">
        <v>1</v>
      </c>
      <c r="J20" s="1" t="s">
        <v>16</v>
      </c>
      <c r="K20" s="1">
        <v>9350005308</v>
      </c>
      <c r="L20" s="1">
        <v>104015</v>
      </c>
      <c r="M20" s="1" t="s">
        <v>122</v>
      </c>
      <c r="N20" s="1">
        <v>1</v>
      </c>
    </row>
    <row r="21" spans="1:14" x14ac:dyDescent="0.3">
      <c r="A21" s="1">
        <v>85152</v>
      </c>
      <c r="B21" s="1" t="s">
        <v>112</v>
      </c>
      <c r="C21" s="1" t="s">
        <v>182</v>
      </c>
      <c r="D21" s="1">
        <v>1760229817</v>
      </c>
      <c r="E21" s="1">
        <v>4757</v>
      </c>
      <c r="F21" s="1" t="s">
        <v>69</v>
      </c>
      <c r="G21" s="1">
        <v>320</v>
      </c>
      <c r="H21" s="1" t="s">
        <v>21</v>
      </c>
      <c r="I21" s="1">
        <v>2</v>
      </c>
      <c r="J21" s="1" t="s">
        <v>147</v>
      </c>
      <c r="K21" s="1">
        <v>9350005308</v>
      </c>
      <c r="L21" s="1">
        <v>104014</v>
      </c>
      <c r="M21" s="1" t="s">
        <v>183</v>
      </c>
      <c r="N21" s="1"/>
    </row>
    <row r="22" spans="1:14" x14ac:dyDescent="0.3">
      <c r="A22" s="1">
        <v>85153</v>
      </c>
      <c r="B22" s="1" t="s">
        <v>30</v>
      </c>
      <c r="C22" s="1" t="s">
        <v>117</v>
      </c>
      <c r="D22" s="1">
        <v>1760404711</v>
      </c>
      <c r="E22" s="1">
        <v>3159</v>
      </c>
      <c r="F22" s="1" t="s">
        <v>24</v>
      </c>
      <c r="G22" s="1">
        <v>330</v>
      </c>
      <c r="H22" s="1" t="s">
        <v>25</v>
      </c>
      <c r="I22" s="1">
        <v>1</v>
      </c>
      <c r="J22" s="1" t="s">
        <v>16</v>
      </c>
      <c r="K22" s="1">
        <v>9871368378</v>
      </c>
      <c r="L22" s="1">
        <v>1282927</v>
      </c>
      <c r="M22" s="1" t="s">
        <v>118</v>
      </c>
      <c r="N22" s="1">
        <v>1</v>
      </c>
    </row>
    <row r="23" spans="1:14" x14ac:dyDescent="0.3">
      <c r="A23" s="1">
        <v>85154</v>
      </c>
      <c r="B23" s="1" t="s">
        <v>167</v>
      </c>
      <c r="C23" s="1" t="s">
        <v>168</v>
      </c>
      <c r="D23" s="1">
        <v>1760128542</v>
      </c>
      <c r="E23" s="1">
        <v>3159</v>
      </c>
      <c r="F23" s="1" t="s">
        <v>24</v>
      </c>
      <c r="G23" s="1">
        <v>330</v>
      </c>
      <c r="H23" s="1" t="s">
        <v>25</v>
      </c>
      <c r="I23" s="1">
        <v>2</v>
      </c>
      <c r="J23" s="1" t="s">
        <v>129</v>
      </c>
      <c r="K23" s="1">
        <v>9999999999</v>
      </c>
      <c r="L23" s="1">
        <v>21320</v>
      </c>
      <c r="M23" s="1" t="s">
        <v>169</v>
      </c>
      <c r="N23" s="1"/>
    </row>
    <row r="24" spans="1:14" x14ac:dyDescent="0.3">
      <c r="A24" s="1">
        <v>85156</v>
      </c>
      <c r="B24" s="1" t="s">
        <v>102</v>
      </c>
      <c r="C24" s="1" t="s">
        <v>165</v>
      </c>
      <c r="D24" s="1">
        <v>1760650606</v>
      </c>
      <c r="E24" s="1">
        <v>3159</v>
      </c>
      <c r="F24" s="1" t="s">
        <v>24</v>
      </c>
      <c r="G24" s="1">
        <v>330</v>
      </c>
      <c r="H24" s="1" t="s">
        <v>25</v>
      </c>
      <c r="I24" s="1">
        <v>2</v>
      </c>
      <c r="J24" s="1" t="s">
        <v>146</v>
      </c>
      <c r="K24" s="1">
        <v>1126874210</v>
      </c>
      <c r="L24" s="1">
        <v>1282928</v>
      </c>
      <c r="M24" s="1" t="s">
        <v>166</v>
      </c>
      <c r="N24" s="1"/>
    </row>
    <row r="25" spans="1:14" x14ac:dyDescent="0.3">
      <c r="A25" s="1">
        <v>85157</v>
      </c>
      <c r="B25" s="1" t="s">
        <v>58</v>
      </c>
      <c r="C25" s="1" t="s">
        <v>119</v>
      </c>
      <c r="D25" s="1">
        <v>1760048507</v>
      </c>
      <c r="E25" s="1">
        <v>4757</v>
      </c>
      <c r="F25" s="1" t="s">
        <v>69</v>
      </c>
      <c r="G25" s="1">
        <v>320</v>
      </c>
      <c r="H25" s="1" t="s">
        <v>21</v>
      </c>
      <c r="I25" s="1">
        <v>1</v>
      </c>
      <c r="J25" s="1" t="s">
        <v>16</v>
      </c>
      <c r="K25" s="1">
        <v>298166616</v>
      </c>
      <c r="L25" s="1">
        <v>98513</v>
      </c>
      <c r="M25" s="1" t="s">
        <v>120</v>
      </c>
      <c r="N25" s="1">
        <v>1</v>
      </c>
    </row>
    <row r="26" spans="1:14" x14ac:dyDescent="0.3">
      <c r="A26" s="1">
        <v>85158</v>
      </c>
      <c r="B26" s="1" t="s">
        <v>29</v>
      </c>
      <c r="C26" s="1" t="s">
        <v>123</v>
      </c>
      <c r="D26" s="1">
        <v>1760136613</v>
      </c>
      <c r="E26" s="1">
        <v>4757</v>
      </c>
      <c r="F26" s="1" t="s">
        <v>69</v>
      </c>
      <c r="G26" s="1">
        <v>320</v>
      </c>
      <c r="H26" s="1" t="s">
        <v>21</v>
      </c>
      <c r="I26" s="1">
        <v>1</v>
      </c>
      <c r="J26" s="1" t="s">
        <v>16</v>
      </c>
      <c r="K26" s="1">
        <v>9312107920</v>
      </c>
      <c r="L26" s="1">
        <v>97915</v>
      </c>
      <c r="M26" s="1" t="s">
        <v>124</v>
      </c>
      <c r="N26" s="1">
        <v>1</v>
      </c>
    </row>
    <row r="27" spans="1:14" x14ac:dyDescent="0.3">
      <c r="A27" s="1">
        <v>85161</v>
      </c>
      <c r="B27" s="1" t="s">
        <v>132</v>
      </c>
      <c r="C27" s="1" t="s">
        <v>133</v>
      </c>
      <c r="D27" s="1">
        <v>1760127674</v>
      </c>
      <c r="E27" s="1">
        <v>2926</v>
      </c>
      <c r="F27" s="1" t="s">
        <v>110</v>
      </c>
      <c r="G27" s="1">
        <v>320</v>
      </c>
      <c r="H27" s="1" t="s">
        <v>21</v>
      </c>
      <c r="I27" s="1">
        <v>1</v>
      </c>
      <c r="J27" s="1" t="s">
        <v>16</v>
      </c>
      <c r="K27" s="1">
        <v>9910268174</v>
      </c>
      <c r="L27" s="1">
        <v>20539</v>
      </c>
      <c r="M27" s="1" t="s">
        <v>134</v>
      </c>
      <c r="N27" s="1">
        <v>1</v>
      </c>
    </row>
    <row r="28" spans="1:14" x14ac:dyDescent="0.3">
      <c r="A28" s="1">
        <v>85162</v>
      </c>
      <c r="B28" s="1" t="s">
        <v>54</v>
      </c>
      <c r="C28" s="1" t="s">
        <v>135</v>
      </c>
      <c r="D28" s="1">
        <v>1760127675</v>
      </c>
      <c r="E28" s="1">
        <v>2926</v>
      </c>
      <c r="F28" s="1" t="s">
        <v>110</v>
      </c>
      <c r="G28" s="1">
        <v>320</v>
      </c>
      <c r="H28" s="1" t="s">
        <v>21</v>
      </c>
      <c r="I28" s="1">
        <v>1</v>
      </c>
      <c r="J28" s="1" t="s">
        <v>16</v>
      </c>
      <c r="K28" s="1">
        <v>9312275965</v>
      </c>
      <c r="L28" s="1">
        <v>35036</v>
      </c>
      <c r="M28" s="1" t="s">
        <v>136</v>
      </c>
      <c r="N28" s="1">
        <v>1</v>
      </c>
    </row>
    <row r="29" spans="1:14" x14ac:dyDescent="0.3">
      <c r="A29" s="1">
        <v>85163</v>
      </c>
      <c r="B29" s="1" t="s">
        <v>155</v>
      </c>
      <c r="C29" s="1" t="s">
        <v>156</v>
      </c>
      <c r="D29" s="1">
        <v>1760386185</v>
      </c>
      <c r="E29" s="1">
        <v>2901</v>
      </c>
      <c r="F29" s="1" t="s">
        <v>91</v>
      </c>
      <c r="G29" s="1">
        <v>320</v>
      </c>
      <c r="H29" s="1" t="s">
        <v>21</v>
      </c>
      <c r="I29" s="1">
        <v>2</v>
      </c>
      <c r="J29" s="1" t="s">
        <v>142</v>
      </c>
      <c r="K29" s="1"/>
      <c r="L29" s="1">
        <v>172123</v>
      </c>
      <c r="M29" s="1" t="s">
        <v>157</v>
      </c>
      <c r="N29" s="1"/>
    </row>
    <row r="30" spans="1:14" x14ac:dyDescent="0.3">
      <c r="A30" s="1">
        <v>85165</v>
      </c>
      <c r="B30" s="1" t="s">
        <v>70</v>
      </c>
      <c r="C30" s="1" t="s">
        <v>71</v>
      </c>
      <c r="D30" s="1">
        <v>1760484650</v>
      </c>
      <c r="E30" s="1">
        <v>2869</v>
      </c>
      <c r="F30" s="1" t="s">
        <v>66</v>
      </c>
      <c r="G30" s="1">
        <v>325</v>
      </c>
      <c r="H30" s="1" t="s">
        <v>15</v>
      </c>
      <c r="I30" s="1">
        <v>1</v>
      </c>
      <c r="J30" s="1" t="s">
        <v>16</v>
      </c>
      <c r="K30" s="1">
        <v>9211248978</v>
      </c>
      <c r="L30" s="1">
        <v>734293</v>
      </c>
      <c r="M30" s="1" t="s">
        <v>72</v>
      </c>
      <c r="N30" s="1">
        <v>1</v>
      </c>
    </row>
    <row r="31" spans="1:14" x14ac:dyDescent="0.3">
      <c r="A31" s="1">
        <v>85166</v>
      </c>
      <c r="B31" s="1" t="s">
        <v>87</v>
      </c>
      <c r="C31" s="1" t="s">
        <v>163</v>
      </c>
      <c r="D31" s="1">
        <v>1760127445</v>
      </c>
      <c r="E31" s="1">
        <v>2869</v>
      </c>
      <c r="F31" s="1" t="s">
        <v>66</v>
      </c>
      <c r="G31" s="1">
        <v>325</v>
      </c>
      <c r="H31" s="1" t="s">
        <v>15</v>
      </c>
      <c r="I31" s="1">
        <v>2</v>
      </c>
      <c r="J31" s="1" t="s">
        <v>152</v>
      </c>
      <c r="K31" s="1">
        <v>9211248978</v>
      </c>
      <c r="L31" s="1">
        <v>734535</v>
      </c>
      <c r="M31" s="1" t="s">
        <v>164</v>
      </c>
      <c r="N31" s="1"/>
    </row>
    <row r="32" spans="1:14" x14ac:dyDescent="0.3">
      <c r="A32" s="1">
        <v>85167</v>
      </c>
      <c r="B32" s="1" t="s">
        <v>67</v>
      </c>
      <c r="C32" s="1" t="s">
        <v>81</v>
      </c>
      <c r="D32" s="1">
        <v>1760132276</v>
      </c>
      <c r="E32" s="1">
        <v>2869</v>
      </c>
      <c r="F32" s="1" t="s">
        <v>66</v>
      </c>
      <c r="G32" s="1">
        <v>325</v>
      </c>
      <c r="H32" s="1" t="s">
        <v>15</v>
      </c>
      <c r="I32" s="1">
        <v>1</v>
      </c>
      <c r="J32" s="1" t="s">
        <v>16</v>
      </c>
      <c r="K32" s="1">
        <v>9211248978</v>
      </c>
      <c r="L32" s="1">
        <v>734517</v>
      </c>
      <c r="M32" s="1" t="s">
        <v>82</v>
      </c>
      <c r="N32" s="1">
        <v>1</v>
      </c>
    </row>
    <row r="33" spans="1:14" x14ac:dyDescent="0.3">
      <c r="A33" s="1">
        <v>85171</v>
      </c>
      <c r="B33" s="1" t="s">
        <v>170</v>
      </c>
      <c r="C33" s="1" t="s">
        <v>171</v>
      </c>
      <c r="D33" s="1">
        <v>1760347266</v>
      </c>
      <c r="E33" s="1">
        <v>2986</v>
      </c>
      <c r="F33" s="1" t="s">
        <v>111</v>
      </c>
      <c r="G33" s="1">
        <v>321</v>
      </c>
      <c r="H33" s="1" t="s">
        <v>37</v>
      </c>
      <c r="I33" s="1">
        <v>2</v>
      </c>
      <c r="J33" s="1" t="s">
        <v>141</v>
      </c>
      <c r="K33" s="1"/>
      <c r="L33" s="1">
        <v>169305</v>
      </c>
      <c r="M33" s="1" t="s">
        <v>172</v>
      </c>
      <c r="N33" s="1"/>
    </row>
    <row r="34" spans="1:14" x14ac:dyDescent="0.3">
      <c r="A34" s="1">
        <v>85172</v>
      </c>
      <c r="B34" s="1" t="s">
        <v>137</v>
      </c>
      <c r="C34" s="1" t="s">
        <v>138</v>
      </c>
      <c r="D34" s="1">
        <v>1760128608</v>
      </c>
      <c r="E34" s="1">
        <v>2905</v>
      </c>
      <c r="F34" s="1" t="s">
        <v>109</v>
      </c>
      <c r="G34" s="1">
        <v>320</v>
      </c>
      <c r="H34" s="1" t="s">
        <v>21</v>
      </c>
      <c r="I34" s="1">
        <v>1</v>
      </c>
      <c r="J34" s="1" t="s">
        <v>16</v>
      </c>
      <c r="K34" s="1">
        <v>9899407919</v>
      </c>
      <c r="L34" s="1">
        <v>162826</v>
      </c>
      <c r="M34" s="1" t="s">
        <v>139</v>
      </c>
      <c r="N34" s="1">
        <v>1</v>
      </c>
    </row>
    <row r="35" spans="1:14" x14ac:dyDescent="0.3">
      <c r="A35" s="1">
        <v>85174</v>
      </c>
      <c r="B35" s="1" t="s">
        <v>26</v>
      </c>
      <c r="C35" s="1" t="s">
        <v>27</v>
      </c>
      <c r="D35" s="1">
        <v>1760142477</v>
      </c>
      <c r="E35" s="1">
        <v>2876</v>
      </c>
      <c r="F35" s="1" t="s">
        <v>14</v>
      </c>
      <c r="G35" s="1">
        <v>325</v>
      </c>
      <c r="H35" s="1" t="s">
        <v>15</v>
      </c>
      <c r="I35" s="1">
        <v>1</v>
      </c>
      <c r="J35" s="1" t="s">
        <v>16</v>
      </c>
      <c r="K35" s="1">
        <v>9999775518</v>
      </c>
      <c r="L35" s="1">
        <v>1555865</v>
      </c>
      <c r="M35" s="1" t="s">
        <v>28</v>
      </c>
      <c r="N35" s="1">
        <v>1</v>
      </c>
    </row>
    <row r="36" spans="1:14" x14ac:dyDescent="0.3">
      <c r="A36" s="1">
        <v>85175</v>
      </c>
      <c r="B36" s="1" t="s">
        <v>160</v>
      </c>
      <c r="C36" s="1" t="s">
        <v>161</v>
      </c>
      <c r="D36" s="1">
        <v>1740013626</v>
      </c>
      <c r="E36" s="1">
        <v>2876</v>
      </c>
      <c r="F36" s="1" t="s">
        <v>14</v>
      </c>
      <c r="G36" s="1">
        <v>325</v>
      </c>
      <c r="H36" s="1" t="s">
        <v>15</v>
      </c>
      <c r="I36" s="1">
        <v>2</v>
      </c>
      <c r="J36" s="1" t="s">
        <v>144</v>
      </c>
      <c r="K36" s="1">
        <v>9899840810</v>
      </c>
      <c r="L36" s="1">
        <v>44481</v>
      </c>
      <c r="M36" s="1" t="s">
        <v>162</v>
      </c>
      <c r="N36" s="1"/>
    </row>
    <row r="37" spans="1:14" x14ac:dyDescent="0.3">
      <c r="A37" s="1">
        <v>85176</v>
      </c>
      <c r="B37" s="1" t="s">
        <v>113</v>
      </c>
      <c r="C37" s="1" t="s">
        <v>173</v>
      </c>
      <c r="D37" s="1">
        <v>1760127503</v>
      </c>
      <c r="E37" s="1">
        <v>2944</v>
      </c>
      <c r="F37" s="1" t="s">
        <v>40</v>
      </c>
      <c r="G37" s="1">
        <v>320</v>
      </c>
      <c r="H37" s="1" t="s">
        <v>21</v>
      </c>
      <c r="I37" s="1">
        <v>2</v>
      </c>
      <c r="J37" s="1" t="s">
        <v>148</v>
      </c>
      <c r="K37" s="1">
        <v>9810058123</v>
      </c>
      <c r="L37" s="1">
        <v>59752</v>
      </c>
      <c r="M37" s="1" t="s">
        <v>174</v>
      </c>
      <c r="N37" s="1"/>
    </row>
    <row r="38" spans="1:14" x14ac:dyDescent="0.3">
      <c r="A38" s="1">
        <v>85177</v>
      </c>
      <c r="B38" s="1" t="s">
        <v>125</v>
      </c>
      <c r="C38" s="1" t="s">
        <v>126</v>
      </c>
      <c r="D38" s="1">
        <v>1760228184</v>
      </c>
      <c r="E38" s="1">
        <v>2944</v>
      </c>
      <c r="F38" s="1" t="s">
        <v>40</v>
      </c>
      <c r="G38" s="1">
        <v>320</v>
      </c>
      <c r="H38" s="1" t="s">
        <v>21</v>
      </c>
      <c r="I38" s="1">
        <v>1</v>
      </c>
      <c r="J38" s="1" t="s">
        <v>16</v>
      </c>
      <c r="K38" s="1">
        <v>9810869255</v>
      </c>
      <c r="L38" s="1">
        <v>59394</v>
      </c>
      <c r="M38" s="1" t="s">
        <v>127</v>
      </c>
      <c r="N38" s="1">
        <v>1</v>
      </c>
    </row>
    <row r="39" spans="1:14" x14ac:dyDescent="0.3">
      <c r="A39" s="1">
        <v>85179</v>
      </c>
      <c r="B39" s="1" t="s">
        <v>51</v>
      </c>
      <c r="C39" s="1" t="s">
        <v>52</v>
      </c>
      <c r="D39" s="1">
        <v>1760483879</v>
      </c>
      <c r="E39" s="1">
        <v>2873</v>
      </c>
      <c r="F39" s="1" t="s">
        <v>43</v>
      </c>
      <c r="G39" s="1">
        <v>325</v>
      </c>
      <c r="H39" s="1" t="s">
        <v>15</v>
      </c>
      <c r="I39" s="1">
        <v>1</v>
      </c>
      <c r="J39" s="1" t="s">
        <v>16</v>
      </c>
      <c r="K39" s="1">
        <v>1126565419</v>
      </c>
      <c r="L39" s="1">
        <v>1026895</v>
      </c>
      <c r="M39" s="1" t="s">
        <v>53</v>
      </c>
      <c r="N39" s="1">
        <v>1</v>
      </c>
    </row>
    <row r="40" spans="1:14" x14ac:dyDescent="0.3">
      <c r="A40" s="1">
        <v>85180</v>
      </c>
      <c r="B40" s="1" t="s">
        <v>56</v>
      </c>
      <c r="C40" s="1" t="s">
        <v>61</v>
      </c>
      <c r="D40" s="1">
        <v>1760220707</v>
      </c>
      <c r="E40" s="1">
        <v>2889</v>
      </c>
      <c r="F40" s="1" t="s">
        <v>46</v>
      </c>
      <c r="G40" s="1">
        <v>325</v>
      </c>
      <c r="H40" s="1" t="s">
        <v>15</v>
      </c>
      <c r="I40" s="1">
        <v>1</v>
      </c>
      <c r="J40" s="1" t="s">
        <v>16</v>
      </c>
      <c r="K40" s="1">
        <v>9810296913</v>
      </c>
      <c r="L40" s="1">
        <v>1571061</v>
      </c>
      <c r="M40" s="1" t="s">
        <v>57</v>
      </c>
      <c r="N40" s="1">
        <v>1</v>
      </c>
    </row>
    <row r="41" spans="1:14" x14ac:dyDescent="0.3">
      <c r="A41" s="1">
        <v>85187</v>
      </c>
      <c r="B41" s="1" t="s">
        <v>32</v>
      </c>
      <c r="C41" s="1" t="s">
        <v>83</v>
      </c>
      <c r="D41" s="1">
        <v>1760035330</v>
      </c>
      <c r="E41" s="1">
        <v>3105</v>
      </c>
      <c r="F41" s="1" t="s">
        <v>44</v>
      </c>
      <c r="G41" s="1">
        <v>325</v>
      </c>
      <c r="H41" s="1" t="s">
        <v>15</v>
      </c>
      <c r="I41" s="1">
        <v>1</v>
      </c>
      <c r="J41" s="1" t="s">
        <v>16</v>
      </c>
      <c r="K41" s="1">
        <v>9313789575</v>
      </c>
      <c r="L41" s="1">
        <v>49346</v>
      </c>
      <c r="M41" s="1" t="s">
        <v>84</v>
      </c>
      <c r="N41" s="1">
        <v>1</v>
      </c>
    </row>
    <row r="42" spans="1:14" x14ac:dyDescent="0.3">
      <c r="A42" s="1">
        <v>85188</v>
      </c>
      <c r="B42" s="1" t="s">
        <v>103</v>
      </c>
      <c r="C42" s="1" t="s">
        <v>104</v>
      </c>
      <c r="D42" s="1">
        <v>1760650941</v>
      </c>
      <c r="E42" s="1">
        <v>2927</v>
      </c>
      <c r="F42" s="1" t="s">
        <v>45</v>
      </c>
      <c r="G42" s="1">
        <v>320</v>
      </c>
      <c r="H42" s="1" t="s">
        <v>21</v>
      </c>
      <c r="I42" s="1">
        <v>1</v>
      </c>
      <c r="J42" s="1" t="s">
        <v>16</v>
      </c>
      <c r="K42" s="1">
        <v>9811455031</v>
      </c>
      <c r="L42" s="1">
        <v>63899</v>
      </c>
      <c r="M42" s="1" t="s">
        <v>105</v>
      </c>
      <c r="N42" s="1">
        <v>1</v>
      </c>
    </row>
    <row r="43" spans="1:14" x14ac:dyDescent="0.3">
      <c r="A43" s="1">
        <v>85189</v>
      </c>
      <c r="B43" s="1" t="s">
        <v>33</v>
      </c>
      <c r="C43" s="1" t="s">
        <v>85</v>
      </c>
      <c r="D43" s="1">
        <v>1760127177</v>
      </c>
      <c r="E43" s="1">
        <v>2927</v>
      </c>
      <c r="F43" s="1" t="s">
        <v>45</v>
      </c>
      <c r="G43" s="1">
        <v>320</v>
      </c>
      <c r="H43" s="1" t="s">
        <v>21</v>
      </c>
      <c r="I43" s="1">
        <v>1</v>
      </c>
      <c r="J43" s="1" t="s">
        <v>16</v>
      </c>
      <c r="K43" s="1"/>
      <c r="L43" s="1">
        <v>63884</v>
      </c>
      <c r="M43" s="1" t="s">
        <v>86</v>
      </c>
      <c r="N43" s="1">
        <v>1</v>
      </c>
    </row>
    <row r="44" spans="1:14" x14ac:dyDescent="0.3">
      <c r="A44" s="1">
        <v>85190</v>
      </c>
      <c r="B44" s="1" t="s">
        <v>149</v>
      </c>
      <c r="C44" s="1" t="s">
        <v>150</v>
      </c>
      <c r="D44" s="1">
        <v>1760138155</v>
      </c>
      <c r="E44" s="1">
        <v>2901</v>
      </c>
      <c r="F44" s="1" t="s">
        <v>91</v>
      </c>
      <c r="G44" s="1">
        <v>320</v>
      </c>
      <c r="H44" s="1" t="s">
        <v>21</v>
      </c>
      <c r="I44" s="1">
        <v>1</v>
      </c>
      <c r="J44" s="1" t="s">
        <v>16</v>
      </c>
      <c r="K44" s="1">
        <v>1126919457</v>
      </c>
      <c r="L44" s="1">
        <v>127695</v>
      </c>
      <c r="M44" s="1" t="s">
        <v>151</v>
      </c>
      <c r="N44" s="1">
        <v>1</v>
      </c>
    </row>
    <row r="45" spans="1:14" x14ac:dyDescent="0.3">
      <c r="A45" s="1">
        <v>85194</v>
      </c>
      <c r="B45" s="1" t="s">
        <v>76</v>
      </c>
      <c r="C45" s="1" t="s">
        <v>77</v>
      </c>
      <c r="D45" s="1">
        <v>1760650746</v>
      </c>
      <c r="E45" s="1">
        <v>2914</v>
      </c>
      <c r="F45" s="1" t="s">
        <v>65</v>
      </c>
      <c r="G45" s="1">
        <v>320</v>
      </c>
      <c r="H45" s="1" t="s">
        <v>21</v>
      </c>
      <c r="I45" s="1">
        <v>1</v>
      </c>
      <c r="J45" s="1" t="s">
        <v>16</v>
      </c>
      <c r="K45" s="1">
        <v>9868038334</v>
      </c>
      <c r="L45" s="1">
        <v>166840</v>
      </c>
      <c r="M45" s="1" t="s">
        <v>78</v>
      </c>
      <c r="N45" s="1">
        <v>1</v>
      </c>
    </row>
  </sheetData>
  <sortState xmlns:xlrd2="http://schemas.microsoft.com/office/spreadsheetml/2017/richdata2" ref="A2:AD662759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3527-636E-4207-810C-7C5066AF5026}">
  <dimension ref="A1"/>
  <sheetViews>
    <sheetView workbookViewId="0">
      <selection activeCell="P8" sqref="P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Active List</vt:lpstr>
      <vt:lpstr>Sheet2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Singh</dc:creator>
  <cp:lastModifiedBy>radhika rawat</cp:lastModifiedBy>
  <cp:lastPrinted>2019-05-05T06:41:10Z</cp:lastPrinted>
  <dcterms:created xsi:type="dcterms:W3CDTF">2013-10-18T07:44:34Z</dcterms:created>
  <dcterms:modified xsi:type="dcterms:W3CDTF">2026-01-11T17:12:30Z</dcterms:modified>
</cp:coreProperties>
</file>