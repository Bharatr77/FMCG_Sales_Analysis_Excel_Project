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bfc225232e13304/Desktop/SLA/Solved Excel Assignment/"/>
    </mc:Choice>
  </mc:AlternateContent>
  <xr:revisionPtr revIDLastSave="169" documentId="11_0FBD56D27A20E6F39BEE1194F20F05F0FFFE4C06" xr6:coauthVersionLast="47" xr6:coauthVersionMax="47" xr10:uidLastSave="{C198F523-F561-49CE-A191-6AF2DFFBE9E5}"/>
  <bookViews>
    <workbookView xWindow="-108" yWindow="-108" windowWidth="23256" windowHeight="12456" activeTab="13" xr2:uid="{00000000-000D-0000-FFFF-FFFF00000000}"/>
  </bookViews>
  <sheets>
    <sheet name="Q1" sheetId="1" r:id="rId1"/>
    <sheet name="Q2" sheetId="2" r:id="rId2"/>
    <sheet name="Q3" sheetId="3" r:id="rId3"/>
    <sheet name="Q4" sheetId="4" r:id="rId4"/>
    <sheet name="Q5" sheetId="9" r:id="rId5"/>
    <sheet name="Q6" sheetId="10" r:id="rId6"/>
    <sheet name="Q7" sheetId="11" r:id="rId7"/>
    <sheet name="Q8" sheetId="13" r:id="rId8"/>
    <sheet name="Q9" sheetId="14" r:id="rId9"/>
    <sheet name="Q10" sheetId="15" r:id="rId10"/>
    <sheet name="Q11" sheetId="16" r:id="rId11"/>
    <sheet name="Q12" sheetId="17" r:id="rId12"/>
    <sheet name="Q13" sheetId="18" r:id="rId13"/>
    <sheet name="Q14" sheetId="19" r:id="rId14"/>
  </sheets>
  <definedNames>
    <definedName name="abc">OFFSET('Q11'!$A$1,MATCH('Q11'!XFD1,'Q11'!$A$1:$A$21,0),1,1,4)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6" l="1"/>
  <c r="N5" i="16"/>
  <c r="D17" i="13"/>
  <c r="I16" i="1" a="1"/>
  <c r="I16" i="1" s="1"/>
  <c r="K15" i="15" a="1"/>
  <c r="K15" i="15" s="1"/>
  <c r="K16" i="15" a="1"/>
  <c r="K16" i="15"/>
  <c r="K17" i="15" a="1"/>
  <c r="K17" i="15" s="1"/>
  <c r="K14" i="15" a="1"/>
  <c r="K14" i="15" s="1"/>
  <c r="F14" i="15"/>
  <c r="L13" i="15"/>
  <c r="M13" i="15" s="1"/>
  <c r="N13" i="15" s="1"/>
  <c r="O13" i="15" s="1"/>
  <c r="K2" i="15"/>
  <c r="A21" i="4"/>
  <c r="A22" i="4"/>
  <c r="C21" i="4"/>
  <c r="A18" i="4"/>
  <c r="C3" i="4"/>
  <c r="K11" i="9" a="1"/>
  <c r="K11" i="9" s="1"/>
  <c r="H3" i="10"/>
  <c r="H4" i="10"/>
  <c r="H5" i="10"/>
  <c r="H6" i="10"/>
  <c r="H7" i="10"/>
  <c r="H8" i="10"/>
  <c r="H2" i="10"/>
  <c r="F13" i="3"/>
  <c r="F14" i="3"/>
  <c r="F15" i="3"/>
  <c r="F12" i="3"/>
  <c r="I5" i="3"/>
  <c r="K13" i="17"/>
  <c r="K14" i="17"/>
  <c r="K15" i="17"/>
  <c r="K12" i="17"/>
  <c r="J13" i="3" a="1"/>
  <c r="J13" i="3" s="1"/>
  <c r="K13" i="3" s="1"/>
  <c r="K9" i="17"/>
  <c r="G2" i="17"/>
  <c r="J18" i="13"/>
  <c r="K9" i="9" a="1"/>
  <c r="K9" i="9" s="1"/>
  <c r="C19" i="4"/>
  <c r="C18" i="4"/>
  <c r="J11" i="1" a="1"/>
  <c r="J11" i="1" s="1"/>
  <c r="D3" i="19"/>
  <c r="D4" i="19"/>
  <c r="D5" i="19"/>
  <c r="D2" i="19"/>
  <c r="C3" i="19"/>
  <c r="C4" i="19"/>
  <c r="C5" i="19"/>
  <c r="C2" i="19"/>
  <c r="G3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M6" i="14"/>
  <c r="M7" i="14"/>
  <c r="M8" i="14"/>
  <c r="M9" i="14"/>
  <c r="M5" i="14"/>
  <c r="G11" i="10"/>
  <c r="G12" i="10"/>
  <c r="G13" i="10"/>
  <c r="G14" i="10"/>
  <c r="G15" i="10"/>
  <c r="G16" i="10"/>
  <c r="G17" i="10"/>
  <c r="G3" i="10"/>
  <c r="G4" i="10"/>
  <c r="G5" i="10"/>
  <c r="G6" i="10"/>
  <c r="G7" i="10"/>
  <c r="G8" i="10"/>
  <c r="G2" i="10"/>
  <c r="I5" i="9" a="1"/>
  <c r="I5" i="9" s="1"/>
  <c r="I6" i="9" a="1"/>
  <c r="I6" i="9" s="1"/>
  <c r="I7" i="9" a="1"/>
  <c r="I7" i="9" s="1"/>
  <c r="I4" i="9" a="1"/>
  <c r="I4" i="9" s="1"/>
  <c r="C4" i="4"/>
  <c r="C5" i="4"/>
  <c r="C6" i="4"/>
  <c r="C7" i="4"/>
  <c r="C8" i="4"/>
  <c r="C9" i="4"/>
  <c r="C10" i="4"/>
  <c r="C11" i="4"/>
  <c r="C12" i="4"/>
  <c r="C13" i="4"/>
  <c r="C14" i="4"/>
  <c r="C15" i="4"/>
  <c r="D3" i="2"/>
  <c r="D4" i="2"/>
  <c r="D5" i="2"/>
  <c r="D6" i="2"/>
  <c r="D2" i="2"/>
  <c r="D13" i="1" a="1"/>
  <c r="D13" i="1" s="1"/>
  <c r="C3" i="15"/>
  <c r="D3" i="15" s="1"/>
  <c r="E3" i="15" s="1"/>
  <c r="B4" i="15"/>
  <c r="K7" i="15" s="1"/>
  <c r="F19" i="15" l="1"/>
  <c r="K16" i="3"/>
  <c r="K15" i="3"/>
  <c r="K14" i="3"/>
  <c r="B5" i="15"/>
  <c r="C4" i="15"/>
  <c r="C5" i="15" s="1"/>
  <c r="C6" i="15" s="1"/>
  <c r="F3" i="15"/>
  <c r="F4" i="15" s="1"/>
  <c r="F5" i="15" s="1"/>
  <c r="F6" i="15" s="1"/>
  <c r="E4" i="15"/>
  <c r="E5" i="15" s="1"/>
  <c r="E6" i="15" s="1"/>
  <c r="D4" i="15"/>
  <c r="D5" i="15" s="1"/>
  <c r="D6" i="15" s="1"/>
  <c r="M17" i="16"/>
  <c r="O15" i="16"/>
  <c r="M10" i="16"/>
  <c r="D27" i="16"/>
  <c r="K24" i="1"/>
  <c r="K21" i="1" s="1"/>
  <c r="K13" i="1"/>
  <c r="K17" i="1"/>
  <c r="C24" i="4"/>
  <c r="C23" i="4"/>
  <c r="D23" i="4" s="1"/>
  <c r="F12" i="4"/>
  <c r="F13" i="4"/>
  <c r="F16" i="4"/>
  <c r="B6" i="15" l="1"/>
  <c r="J12" i="19"/>
  <c r="C26" i="13"/>
  <c r="B24" i="4"/>
  <c r="F15" i="4"/>
  <c r="F11" i="4"/>
  <c r="F10" i="4"/>
  <c r="F9" i="4"/>
  <c r="G9" i="3"/>
  <c r="F6" i="3"/>
  <c r="G6" i="3" s="1"/>
  <c r="F9" i="3"/>
  <c r="F8" i="3"/>
  <c r="G8" i="3" s="1"/>
  <c r="F7" i="3"/>
  <c r="G7" i="3" s="1"/>
  <c r="I8" i="3"/>
  <c r="I7" i="3"/>
  <c r="I6" i="3"/>
  <c r="E2" i="11" l="1" a="1"/>
  <c r="E2" i="11" s="1"/>
  <c r="D6" i="11" a="1"/>
  <c r="D3" i="11" a="1"/>
  <c r="D10" i="11" a="1"/>
  <c r="D8" i="11" a="1"/>
  <c r="D4" i="11" a="1"/>
  <c r="D7" i="11" a="1"/>
  <c r="D5" i="11" a="1"/>
  <c r="D2" i="11" a="1"/>
  <c r="D9" i="11" a="1"/>
  <c r="D2" i="11" l="1"/>
  <c r="D10" i="11"/>
  <c r="D8" i="11"/>
  <c r="D4" i="11"/>
  <c r="D6" i="11"/>
  <c r="D9" i="11"/>
  <c r="D7" i="11"/>
  <c r="D5" i="11"/>
  <c r="D3" i="11"/>
  <c r="C2" i="15"/>
  <c r="G4" i="14"/>
  <c r="F20" i="15" l="1"/>
  <c r="K3" i="15"/>
  <c r="F15" i="15"/>
  <c r="D2" i="15"/>
  <c r="E2" i="15" s="1"/>
  <c r="F2" i="15" s="1"/>
  <c r="K8" i="15"/>
  <c r="G5" i="14"/>
  <c r="G6" i="14" s="1"/>
  <c r="G7" i="14" s="1"/>
  <c r="G8" i="14" s="1"/>
  <c r="G9" i="14" s="1"/>
  <c r="G10" i="14" s="1"/>
  <c r="G11" i="14" s="1"/>
  <c r="G12" i="14" s="1"/>
  <c r="G13" i="14" s="1"/>
  <c r="G14" i="14" s="1"/>
  <c r="G15" i="14" s="1"/>
  <c r="M10" i="14"/>
  <c r="M11" i="14"/>
  <c r="M12" i="14"/>
  <c r="K4" i="15" l="1"/>
  <c r="F21" i="15"/>
  <c r="K9" i="15"/>
  <c r="K10" i="15"/>
  <c r="F18" i="15"/>
  <c r="F17" i="15"/>
  <c r="F22" i="15"/>
  <c r="K5" i="15"/>
  <c r="K6" i="15"/>
  <c r="F16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<sst xmlns="http://schemas.openxmlformats.org/spreadsheetml/2006/main" count="412" uniqueCount="209">
  <si>
    <t>*</t>
  </si>
  <si>
    <t>A</t>
  </si>
  <si>
    <t>B</t>
  </si>
  <si>
    <t>C</t>
  </si>
  <si>
    <t>D</t>
  </si>
  <si>
    <t>Output</t>
  </si>
  <si>
    <t>City</t>
  </si>
  <si>
    <t>Sales</t>
  </si>
  <si>
    <t>Mumbai</t>
  </si>
  <si>
    <t>Pune</t>
  </si>
  <si>
    <t>Banglore</t>
  </si>
  <si>
    <t>Lucknow</t>
  </si>
  <si>
    <t>Himanchal</t>
  </si>
  <si>
    <t>Dehradun</t>
  </si>
  <si>
    <t>Kanpur</t>
  </si>
  <si>
    <t>Raipur</t>
  </si>
  <si>
    <t>Chhatisgarh</t>
  </si>
  <si>
    <t>Bihar</t>
  </si>
  <si>
    <t>Indore</t>
  </si>
  <si>
    <t>Find the Top 4 Cities name using Index Match</t>
  </si>
  <si>
    <t>Data</t>
  </si>
  <si>
    <t>D:\Advance Excel Training\Excel Training Updated Syllabus\Week3\[Week3.xls]Question for Left Right MId (2)</t>
  </si>
  <si>
    <t>D:\Advance Excel Training\Excel Training Updated Syllabus\Week3\[Attendance.xls]Question for Left Right MId (2)</t>
  </si>
  <si>
    <t>D:\Advance Excel Training\Excel Training Updated Syllabus\Week3\[Production Data.xls]Question for Left Right MId (2)</t>
  </si>
  <si>
    <t>D:\Advance Excel Training\Excel Training Updated Syllabus\Week3\[Weekly Production.xls]Question for Left Right MId (2)</t>
  </si>
  <si>
    <t>Get the File Name from Data</t>
  </si>
  <si>
    <t>Company</t>
  </si>
  <si>
    <t>TATA</t>
  </si>
  <si>
    <t>Ericsson</t>
  </si>
  <si>
    <t>Mercer</t>
  </si>
  <si>
    <t>UHG</t>
  </si>
  <si>
    <t>Find the Max Sales Companywise</t>
  </si>
  <si>
    <t>ID</t>
  </si>
  <si>
    <t>Name</t>
  </si>
  <si>
    <t>1001</t>
  </si>
  <si>
    <t>Ajay</t>
  </si>
  <si>
    <t>1002</t>
  </si>
  <si>
    <t>Mukesh</t>
  </si>
  <si>
    <t>1003</t>
  </si>
  <si>
    <t>Anoop</t>
  </si>
  <si>
    <t>1004</t>
  </si>
  <si>
    <t>Rahul</t>
  </si>
  <si>
    <t>1005</t>
  </si>
  <si>
    <t>Ram</t>
  </si>
  <si>
    <t>1006</t>
  </si>
  <si>
    <t>Raju</t>
  </si>
  <si>
    <t>1007</t>
  </si>
  <si>
    <t>Abhishek</t>
  </si>
  <si>
    <t>Country</t>
  </si>
  <si>
    <t>Code</t>
  </si>
  <si>
    <t>79Aus10493</t>
  </si>
  <si>
    <t>62China8954</t>
  </si>
  <si>
    <t>45Chicago17357</t>
  </si>
  <si>
    <t>53SA9546</t>
  </si>
  <si>
    <t>58England18021</t>
  </si>
  <si>
    <t>89Washington10490</t>
  </si>
  <si>
    <t>29Kenya9272</t>
  </si>
  <si>
    <t>58Scottland5133</t>
  </si>
  <si>
    <t>19Nepal16428</t>
  </si>
  <si>
    <t>Fetch the Country and Code</t>
  </si>
  <si>
    <t>31US 30800</t>
  </si>
  <si>
    <t>48 Singapore22192</t>
  </si>
  <si>
    <t>15 SriLanka2739</t>
  </si>
  <si>
    <t>Marks-2</t>
  </si>
  <si>
    <t>Marks-3</t>
  </si>
  <si>
    <t>Marks-4</t>
  </si>
  <si>
    <t>Sum the amount which are greater than or equal to 100</t>
  </si>
  <si>
    <t>Sum</t>
  </si>
  <si>
    <t>Data_1</t>
  </si>
  <si>
    <t>Data_2</t>
  </si>
  <si>
    <t>Data_3</t>
  </si>
  <si>
    <t>roll no</t>
  </si>
  <si>
    <t>MARKS</t>
  </si>
  <si>
    <t>For Error should be shown as "Data Doesn't Exist"</t>
  </si>
  <si>
    <t>PLAN</t>
  </si>
  <si>
    <t>Plan</t>
  </si>
  <si>
    <t>Cricle</t>
  </si>
  <si>
    <t>Rate</t>
  </si>
  <si>
    <t>CIRCLE</t>
  </si>
  <si>
    <t>EAST</t>
  </si>
  <si>
    <t>WEST</t>
  </si>
  <si>
    <t>NORTH</t>
  </si>
  <si>
    <t>SOUTH</t>
  </si>
  <si>
    <t>Get the Rate</t>
  </si>
  <si>
    <t>Fetch the Name and Sales Using Vlookup Match</t>
  </si>
  <si>
    <t xml:space="preserve"> Sales</t>
  </si>
  <si>
    <t>Pankaj</t>
  </si>
  <si>
    <t>Rakesh</t>
  </si>
  <si>
    <t>Score(%)</t>
  </si>
  <si>
    <t>Result</t>
  </si>
  <si>
    <t>54Zim babwe 11915</t>
  </si>
  <si>
    <t>68 Neitherland18315</t>
  </si>
  <si>
    <t>Marks 3</t>
  </si>
  <si>
    <t>Inventory Number</t>
  </si>
  <si>
    <t>SS-3922</t>
  </si>
  <si>
    <t>SS-3048</t>
  </si>
  <si>
    <t>FD-2039</t>
  </si>
  <si>
    <t>BD-3902</t>
  </si>
  <si>
    <t>SS-3984</t>
  </si>
  <si>
    <t>BV-3970</t>
  </si>
  <si>
    <t>SS-9483</t>
  </si>
  <si>
    <t>BV-1128</t>
  </si>
  <si>
    <t>BD-2039</t>
  </si>
  <si>
    <t>FD-3037</t>
  </si>
  <si>
    <t>BV-4022</t>
  </si>
  <si>
    <t>FD-0482</t>
  </si>
  <si>
    <t>SS-9383</t>
  </si>
  <si>
    <t>SS-3938</t>
  </si>
  <si>
    <t>FD-0541</t>
  </si>
  <si>
    <t>BV-3476</t>
  </si>
  <si>
    <t>SS-2377</t>
  </si>
  <si>
    <t>BV-6023</t>
  </si>
  <si>
    <t>FD-9302</t>
  </si>
  <si>
    <t>FD-3239</t>
  </si>
  <si>
    <t>Total Sales</t>
  </si>
  <si>
    <t>Find the Total Sales using SumIF</t>
  </si>
  <si>
    <t>Serial No</t>
  </si>
  <si>
    <t>Operator</t>
  </si>
  <si>
    <t>Circle</t>
  </si>
  <si>
    <t>FX025996, FX024543, FX026736 &amp; HQ027014</t>
  </si>
  <si>
    <t>International</t>
  </si>
  <si>
    <t>Afghanistan</t>
  </si>
  <si>
    <t>FX025996</t>
  </si>
  <si>
    <t>1108113999, 1108403628</t>
  </si>
  <si>
    <t>Aircel</t>
  </si>
  <si>
    <t>Assam</t>
  </si>
  <si>
    <t>1108361601, 1108361525</t>
  </si>
  <si>
    <t>Orissa</t>
  </si>
  <si>
    <t>1108227601, 1108039774, 1108227592</t>
  </si>
  <si>
    <t>Reliance</t>
  </si>
  <si>
    <t>AP</t>
  </si>
  <si>
    <t>1107389435, 1108100000</t>
  </si>
  <si>
    <t>Karantaka</t>
  </si>
  <si>
    <t>1108403665, 1109040703</t>
  </si>
  <si>
    <t>1107401031, 1108361517</t>
  </si>
  <si>
    <t>Orrja</t>
  </si>
  <si>
    <t>UPWest</t>
  </si>
  <si>
    <t>Tata</t>
  </si>
  <si>
    <t>Kerela</t>
  </si>
  <si>
    <t>FX018100</t>
  </si>
  <si>
    <t>West Bengal</t>
  </si>
  <si>
    <t>1108113875, 1107304361</t>
  </si>
  <si>
    <t>1107304396, 1107400912</t>
  </si>
  <si>
    <t>Vodafone</t>
  </si>
  <si>
    <t>1107400975, 1108200000</t>
  </si>
  <si>
    <t>1108039685 , 1107126280 , 1108114052</t>
  </si>
  <si>
    <t>1107368290 , 106384604 , 1107209977</t>
  </si>
  <si>
    <t>1108289348, 1108392433</t>
  </si>
  <si>
    <t>Idea</t>
  </si>
  <si>
    <t>Delhi</t>
  </si>
  <si>
    <t>1107304368,1107304392, 1107304472</t>
  </si>
  <si>
    <t>STL</t>
  </si>
  <si>
    <t>Rajsthan</t>
  </si>
  <si>
    <t>1106489994 , 1107126272</t>
  </si>
  <si>
    <t>Airtel</t>
  </si>
  <si>
    <t>UPWEST</t>
  </si>
  <si>
    <t>Upeast</t>
  </si>
  <si>
    <t>1108113940, 1108039738</t>
  </si>
  <si>
    <t>1106489974, 1107389365</t>
  </si>
  <si>
    <t>HX028110, HX027763</t>
  </si>
  <si>
    <t>J&amp;K</t>
  </si>
  <si>
    <t>HX028110</t>
  </si>
  <si>
    <t>Find the Total Sales</t>
  </si>
  <si>
    <t>Count the Aestrick (*) in Yellow Range</t>
  </si>
  <si>
    <t>Top 4 Cities</t>
  </si>
  <si>
    <t>APRIL Sales Amount</t>
  </si>
  <si>
    <t>JAN Sales Amount</t>
  </si>
  <si>
    <t>FEB Sales Amount</t>
  </si>
  <si>
    <t>MAR Sales Amount</t>
  </si>
  <si>
    <t>Delhi789348</t>
  </si>
  <si>
    <t>Kolkata807501</t>
  </si>
  <si>
    <t>Chennai247998</t>
  </si>
  <si>
    <t>Pune911977</t>
  </si>
  <si>
    <t>Raipur715286</t>
  </si>
  <si>
    <t>Chandigarh332638</t>
  </si>
  <si>
    <t>Mumbai678</t>
  </si>
  <si>
    <t>Banglore26514</t>
  </si>
  <si>
    <t>Bhuvneshwar16472445</t>
  </si>
  <si>
    <t>Noida923727434</t>
  </si>
  <si>
    <t xml:space="preserve">Required Output Should be </t>
  </si>
  <si>
    <t>Text are : 5 and Numeric are : 8</t>
  </si>
  <si>
    <t>Ram Singh Tomar</t>
  </si>
  <si>
    <t>First Name</t>
  </si>
  <si>
    <t>Mid Name</t>
  </si>
  <si>
    <t>Last Name</t>
  </si>
  <si>
    <t>Mahesh Srivastava</t>
  </si>
  <si>
    <t>Alok Saxena</t>
  </si>
  <si>
    <t>Amitabh Kr Bhattacharya</t>
  </si>
  <si>
    <t>Fetch the First, Middle and Last Name using Function</t>
  </si>
  <si>
    <t>If anyone don't have the middle name it should be blank</t>
  </si>
  <si>
    <t>Mark-4</t>
  </si>
  <si>
    <t>1108465261, 1108465430,1108403636</t>
  </si>
  <si>
    <t>Week3.xls</t>
  </si>
  <si>
    <t>Vikrant</t>
  </si>
  <si>
    <t>Vikrant 100%</t>
  </si>
  <si>
    <t>Top 4 Cities in sales</t>
  </si>
  <si>
    <t>68 India 32262</t>
  </si>
  <si>
    <t>abhishek roy</t>
  </si>
  <si>
    <t>`</t>
  </si>
  <si>
    <t xml:space="preserve"> </t>
  </si>
  <si>
    <t xml:space="preserve"> =SUM(IF($C$2:$G$11="*",1,0))</t>
  </si>
  <si>
    <t>Abhishek 50%</t>
  </si>
  <si>
    <t>Rahul 50</t>
  </si>
  <si>
    <t>Pankaj 80%</t>
  </si>
  <si>
    <t>Rakesh 20</t>
  </si>
  <si>
    <t>Formula</t>
  </si>
  <si>
    <t xml:space="preserve"> =CONCATENATE(A2," ",IF(B2&lt;=1,CONCATENATE(LEFT(FIXED(VALUE(SUBSTITUTE(FIXED(B2),".",""))),FIND(".",FIXED(VALUE(SUBSTITUTE(FIXED(B2),".",""))))-1),"%"),LEFT(FIXED(B2),FIND(".",FIXED(B2))-1)))</t>
  </si>
  <si>
    <t xml:space="preserve"> =IF(LEN(A2)-LEN(SUBSTITUTE(A2," ",""))=1,"",MID(A2,FIND(" ",A2)+1,FIND(" ",A2,FIND(" ",A2)+1-FIND(" ",A2))))</t>
  </si>
  <si>
    <t>bharat rawat sir is my duhuhfeijgrijfdijb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</si>
</sst>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0"/>
      <name val="Arial"/>
      <family val="2"/>
    </font>
    <font>
      <sz val="14"/>
      <color theme="1"/>
      <name val="Times New Roman"/>
      <family val="1"/>
    </font>
    <font>
      <sz val="11"/>
      <color theme="1"/>
      <name val="Century"/>
      <family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3" fillId="0" borderId="0"/>
    <xf numFmtId="0" fontId="2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</cellStyleXfs>
  <cellXfs count="4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1" fillId="0" borderId="0" xfId="0" applyFont="1"/>
    <xf numFmtId="0" fontId="0" fillId="3" borderId="0" xfId="0" applyFill="1"/>
    <xf numFmtId="0" fontId="1" fillId="2" borderId="2" xfId="0" applyFont="1" applyFill="1" applyBorder="1"/>
    <xf numFmtId="0" fontId="1" fillId="2" borderId="2" xfId="0" applyFont="1" applyFill="1" applyBorder="1" applyAlignment="1">
      <alignment horizontal="center"/>
    </xf>
    <xf numFmtId="0" fontId="0" fillId="4" borderId="6" xfId="0" applyFill="1" applyBorder="1"/>
    <xf numFmtId="0" fontId="0" fillId="4" borderId="1" xfId="0" applyFill="1" applyBorder="1"/>
    <xf numFmtId="0" fontId="1" fillId="2" borderId="1" xfId="0" applyFont="1" applyFill="1" applyBorder="1"/>
    <xf numFmtId="49" fontId="0" fillId="2" borderId="1" xfId="0" applyNumberFormat="1" applyFill="1" applyBorder="1"/>
    <xf numFmtId="0" fontId="4" fillId="0" borderId="1" xfId="0" applyFont="1" applyBorder="1"/>
    <xf numFmtId="0" fontId="0" fillId="2" borderId="1" xfId="0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0" borderId="0" xfId="1" applyFont="1"/>
    <xf numFmtId="0" fontId="3" fillId="0" borderId="0" xfId="1"/>
    <xf numFmtId="0" fontId="1" fillId="0" borderId="1" xfId="1" applyFont="1" applyBorder="1" applyAlignment="1">
      <alignment horizontal="center"/>
    </xf>
    <xf numFmtId="0" fontId="3" fillId="0" borderId="1" xfId="1" applyBorder="1" applyAlignment="1">
      <alignment horizontal="center"/>
    </xf>
    <xf numFmtId="0" fontId="1" fillId="0" borderId="7" xfId="1" applyFont="1" applyBorder="1"/>
    <xf numFmtId="0" fontId="3" fillId="2" borderId="1" xfId="1" applyFill="1" applyBorder="1" applyAlignment="1">
      <alignment horizontal="center"/>
    </xf>
    <xf numFmtId="0" fontId="5" fillId="4" borderId="1" xfId="0" applyFont="1" applyFill="1" applyBorder="1" applyAlignment="1">
      <alignment horizontal="center" vertical="top"/>
    </xf>
    <xf numFmtId="0" fontId="5" fillId="4" borderId="1" xfId="0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2" borderId="3" xfId="0" applyFont="1" applyFill="1" applyBorder="1"/>
    <xf numFmtId="0" fontId="1" fillId="2" borderId="5" xfId="0" applyFont="1" applyFill="1" applyBorder="1"/>
    <xf numFmtId="0" fontId="1" fillId="0" borderId="1" xfId="0" applyFont="1" applyBorder="1"/>
    <xf numFmtId="9" fontId="0" fillId="0" borderId="1" xfId="0" applyNumberFormat="1" applyBorder="1"/>
    <xf numFmtId="0" fontId="1" fillId="2" borderId="6" xfId="1" applyFont="1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1" fillId="0" borderId="8" xfId="0" applyFont="1" applyBorder="1"/>
    <xf numFmtId="4" fontId="0" fillId="0" borderId="1" xfId="0" applyNumberFormat="1" applyBorder="1"/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0" borderId="3" xfId="1" applyFont="1" applyBorder="1" applyAlignment="1">
      <alignment horizontal="center"/>
    </xf>
    <xf numFmtId="0" fontId="1" fillId="0" borderId="4" xfId="1" applyFont="1" applyBorder="1" applyAlignment="1">
      <alignment horizontal="center"/>
    </xf>
    <xf numFmtId="0" fontId="1" fillId="0" borderId="5" xfId="1" applyFont="1" applyBorder="1" applyAlignment="1">
      <alignment horizontal="center"/>
    </xf>
  </cellXfs>
  <cellStyles count="6">
    <cellStyle name="Nor}al 2" xfId="2" xr:uid="{00000000-0005-0000-0000-000000000000}"/>
    <cellStyle name="Normal" xfId="0" builtinId="0"/>
    <cellStyle name="Normal 5" xfId="3" xr:uid="{00000000-0005-0000-0000-000002000000}"/>
    <cellStyle name="Normal 8" xfId="4" xr:uid="{00000000-0005-0000-0000-000003000000}"/>
    <cellStyle name="Normal 9" xfId="1" xr:uid="{00000000-0005-0000-0000-000004000000}"/>
    <cellStyle name="Percent 4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L24"/>
  <sheetViews>
    <sheetView showGridLines="0" workbookViewId="0">
      <selection activeCell="I17" sqref="I17"/>
    </sheetView>
  </sheetViews>
  <sheetFormatPr defaultRowHeight="14.4" x14ac:dyDescent="0.3"/>
  <cols>
    <col min="11" max="11" width="35.5546875" bestFit="1" customWidth="1"/>
    <col min="12" max="12" width="26.77734375" bestFit="1" customWidth="1"/>
  </cols>
  <sheetData>
    <row r="1" spans="3:12" x14ac:dyDescent="0.3">
      <c r="K1" s="3" t="s">
        <v>63</v>
      </c>
    </row>
    <row r="2" spans="3:12" x14ac:dyDescent="0.3"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</row>
    <row r="3" spans="3:12" x14ac:dyDescent="0.3">
      <c r="C3" s="2" t="s">
        <v>0</v>
      </c>
      <c r="D3" s="2" t="s">
        <v>0</v>
      </c>
      <c r="E3" s="2" t="s">
        <v>0</v>
      </c>
      <c r="F3" s="2" t="s">
        <v>0</v>
      </c>
      <c r="G3" s="2" t="s">
        <v>0</v>
      </c>
    </row>
    <row r="4" spans="3:12" x14ac:dyDescent="0.3">
      <c r="C4" s="2" t="s">
        <v>0</v>
      </c>
      <c r="D4" s="2" t="s">
        <v>0</v>
      </c>
      <c r="E4" s="2" t="s">
        <v>0</v>
      </c>
      <c r="F4" s="2" t="s">
        <v>0</v>
      </c>
      <c r="G4" s="2" t="s">
        <v>0</v>
      </c>
    </row>
    <row r="5" spans="3:12" x14ac:dyDescent="0.3">
      <c r="C5" s="2" t="s">
        <v>0</v>
      </c>
      <c r="D5" s="2" t="s">
        <v>0</v>
      </c>
      <c r="E5" s="2" t="s">
        <v>1</v>
      </c>
      <c r="F5" s="2" t="s">
        <v>0</v>
      </c>
      <c r="G5" s="2" t="s">
        <v>0</v>
      </c>
    </row>
    <row r="6" spans="3:12" x14ac:dyDescent="0.3">
      <c r="C6" s="2" t="s">
        <v>0</v>
      </c>
      <c r="D6" s="2" t="s">
        <v>3</v>
      </c>
      <c r="E6" s="2" t="s">
        <v>2</v>
      </c>
      <c r="F6" s="2" t="s">
        <v>0</v>
      </c>
      <c r="G6" s="2" t="s">
        <v>0</v>
      </c>
      <c r="L6" s="3" t="s">
        <v>5</v>
      </c>
    </row>
    <row r="7" spans="3:12" x14ac:dyDescent="0.3">
      <c r="C7" s="2" t="s">
        <v>0</v>
      </c>
      <c r="D7" s="2" t="s">
        <v>0</v>
      </c>
      <c r="E7" s="2" t="s">
        <v>0</v>
      </c>
      <c r="F7" s="2" t="s">
        <v>4</v>
      </c>
      <c r="G7" s="2" t="s">
        <v>0</v>
      </c>
      <c r="K7" s="3" t="s">
        <v>163</v>
      </c>
      <c r="L7" s="4"/>
    </row>
    <row r="8" spans="3:12" x14ac:dyDescent="0.3">
      <c r="C8" s="2" t="s">
        <v>0</v>
      </c>
      <c r="D8" s="2" t="s">
        <v>0</v>
      </c>
      <c r="E8" s="2" t="s">
        <v>0</v>
      </c>
      <c r="F8" s="2" t="s">
        <v>0</v>
      </c>
      <c r="G8" s="2" t="s">
        <v>0</v>
      </c>
    </row>
    <row r="9" spans="3:12" x14ac:dyDescent="0.3">
      <c r="C9" s="2" t="s">
        <v>0</v>
      </c>
      <c r="D9" s="2" t="s">
        <v>0</v>
      </c>
      <c r="E9" s="2" t="s">
        <v>0</v>
      </c>
      <c r="F9" s="2" t="s">
        <v>0</v>
      </c>
      <c r="G9" s="2" t="s">
        <v>0</v>
      </c>
    </row>
    <row r="10" spans="3:12" x14ac:dyDescent="0.3">
      <c r="C10" s="2" t="s">
        <v>0</v>
      </c>
      <c r="D10" s="2" t="s">
        <v>0</v>
      </c>
      <c r="E10" s="2" t="s">
        <v>0</v>
      </c>
      <c r="F10" s="2" t="s">
        <v>0</v>
      </c>
      <c r="G10" s="2" t="s">
        <v>0</v>
      </c>
    </row>
    <row r="11" spans="3:12" x14ac:dyDescent="0.3">
      <c r="C11" s="2" t="s">
        <v>0</v>
      </c>
      <c r="D11" s="2" t="s">
        <v>0</v>
      </c>
      <c r="E11" s="2" t="s">
        <v>0</v>
      </c>
      <c r="F11" s="2" t="s">
        <v>0</v>
      </c>
      <c r="G11" s="2" t="s">
        <v>0</v>
      </c>
      <c r="J11" cm="1">
        <f t="array" ref="J11">SUM(IF($C$2:$G$11="*",1,0))</f>
        <v>46</v>
      </c>
    </row>
    <row r="13" spans="3:12" x14ac:dyDescent="0.3">
      <c r="D13">
        <f t="array" ref="D13">SUM(IF($C$2:$G$11="*",1,0))</f>
        <v>46</v>
      </c>
      <c r="K13">
        <f>COUNTIF(C2:G11,)</f>
        <v>0</v>
      </c>
    </row>
    <row r="16" spans="3:12" x14ac:dyDescent="0.3">
      <c r="D16" t="s">
        <v>200</v>
      </c>
      <c r="I16" cm="1">
        <f t="array" ref="I16">SUM(IF($C$2:$G$11="*",1,0))</f>
        <v>46</v>
      </c>
    </row>
    <row r="17" spans="11:11" x14ac:dyDescent="0.3">
      <c r="K17">
        <f>COUNTA(C2:G11)</f>
        <v>50</v>
      </c>
    </row>
    <row r="21" spans="11:11" x14ac:dyDescent="0.3">
      <c r="K21">
        <f>COUNTA(C2:G11)-K24</f>
        <v>46</v>
      </c>
    </row>
    <row r="24" spans="11:11" x14ac:dyDescent="0.3">
      <c r="K24">
        <f>COUNTA(E6,E5,F7,D6)</f>
        <v>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8"/>
  <sheetViews>
    <sheetView showGridLines="0" zoomScale="122" zoomScaleNormal="160" workbookViewId="0">
      <selection activeCell="D2" sqref="D2"/>
    </sheetView>
  </sheetViews>
  <sheetFormatPr defaultRowHeight="14.4" x14ac:dyDescent="0.3"/>
  <cols>
    <col min="2" max="2" width="8.88671875" bestFit="1" customWidth="1"/>
    <col min="3" max="3" width="16.44140625" customWidth="1"/>
    <col min="4" max="4" width="13.44140625" bestFit="1" customWidth="1"/>
  </cols>
  <sheetData>
    <row r="1" spans="1:7" x14ac:dyDescent="0.3">
      <c r="A1" s="27" t="s">
        <v>33</v>
      </c>
      <c r="B1" s="27" t="s">
        <v>88</v>
      </c>
      <c r="C1" s="27" t="s">
        <v>89</v>
      </c>
      <c r="D1" s="34" t="s">
        <v>205</v>
      </c>
      <c r="G1" s="3" t="s">
        <v>92</v>
      </c>
    </row>
    <row r="2" spans="1:7" x14ac:dyDescent="0.3">
      <c r="A2" s="1" t="s">
        <v>193</v>
      </c>
      <c r="B2" s="35">
        <v>50</v>
      </c>
      <c r="C2" s="1" t="s">
        <v>194</v>
      </c>
      <c r="D2" t="str">
        <f>CONCATENATE(A2," ",IF(B2&lt;=1,CONCATENATE(LEFT(FIXED(VALUE(SUBSTITUTE(FIXED(B2),".",""))),FIND(".",FIXED(VALUE(SUBSTITUTE(FIXED(B2),".",""))))-1),"%"),LEFT(FIXED(B2),FIND(".",FIXED(B2))-1)))</f>
        <v>Vikrant 50</v>
      </c>
    </row>
    <row r="3" spans="1:7" x14ac:dyDescent="0.3">
      <c r="A3" s="1" t="s">
        <v>47</v>
      </c>
      <c r="B3" s="28">
        <v>0.5</v>
      </c>
      <c r="C3" s="1" t="s">
        <v>201</v>
      </c>
      <c r="D3" t="str">
        <f t="shared" ref="D3:D6" si="0">CONCATENATE(A3," ",IF(B3&lt;=1,CONCATENATE(LEFT(FIXED(VALUE(SUBSTITUTE(FIXED(B3),".",""))),FIND(".",FIXED(VALUE(SUBSTITUTE(FIXED(B3),".",""))))-1),"%"),LEFT(FIXED(B3),FIND(".",FIXED(B3))-1)))</f>
        <v>Abhishek 50%</v>
      </c>
    </row>
    <row r="4" spans="1:7" x14ac:dyDescent="0.3">
      <c r="A4" s="1" t="s">
        <v>41</v>
      </c>
      <c r="B4" s="1">
        <v>50</v>
      </c>
      <c r="C4" s="1" t="s">
        <v>202</v>
      </c>
      <c r="D4" t="str">
        <f t="shared" si="0"/>
        <v>Rahul 50</v>
      </c>
    </row>
    <row r="5" spans="1:7" x14ac:dyDescent="0.3">
      <c r="A5" s="1" t="s">
        <v>86</v>
      </c>
      <c r="B5" s="28">
        <v>0.8</v>
      </c>
      <c r="C5" s="1" t="s">
        <v>203</v>
      </c>
      <c r="D5" t="str">
        <f t="shared" si="0"/>
        <v>Pankaj 80%</v>
      </c>
    </row>
    <row r="6" spans="1:7" x14ac:dyDescent="0.3">
      <c r="A6" s="1" t="s">
        <v>87</v>
      </c>
      <c r="B6" s="1">
        <v>20</v>
      </c>
      <c r="C6" s="1" t="s">
        <v>204</v>
      </c>
      <c r="D6" t="str">
        <f t="shared" si="0"/>
        <v>Rakesh 20</v>
      </c>
    </row>
    <row r="8" spans="1:7" x14ac:dyDescent="0.3">
      <c r="C8" t="s">
        <v>206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6"/>
  <sheetViews>
    <sheetView showGridLines="0" zoomScale="110" zoomScaleNormal="110" workbookViewId="0">
      <selection activeCell="G6" sqref="G6"/>
    </sheetView>
  </sheetViews>
  <sheetFormatPr defaultRowHeight="14.4" x14ac:dyDescent="0.3"/>
  <cols>
    <col min="2" max="2" width="11.44140625" bestFit="1" customWidth="1"/>
    <col min="6" max="6" width="11.109375" bestFit="1" customWidth="1"/>
    <col min="7" max="7" width="18.44140625" bestFit="1" customWidth="1"/>
  </cols>
  <sheetData>
    <row r="1" spans="1:12" x14ac:dyDescent="0.3">
      <c r="A1" s="3" t="s">
        <v>7</v>
      </c>
      <c r="B1" s="3" t="s">
        <v>6</v>
      </c>
      <c r="L1" s="3" t="s">
        <v>64</v>
      </c>
    </row>
    <row r="2" spans="1:12" ht="15" thickBot="1" x14ac:dyDescent="0.35">
      <c r="A2">
        <v>9000</v>
      </c>
      <c r="B2" t="s">
        <v>8</v>
      </c>
    </row>
    <row r="3" spans="1:12" ht="15" thickBot="1" x14ac:dyDescent="0.35">
      <c r="A3">
        <v>5290</v>
      </c>
      <c r="B3" t="s">
        <v>9</v>
      </c>
      <c r="F3" s="36" t="s">
        <v>19</v>
      </c>
      <c r="G3" s="37"/>
      <c r="H3" s="37"/>
      <c r="I3" s="37"/>
      <c r="J3" s="38"/>
    </row>
    <row r="4" spans="1:12" x14ac:dyDescent="0.3">
      <c r="A4">
        <v>7204</v>
      </c>
      <c r="B4" t="s">
        <v>10</v>
      </c>
    </row>
    <row r="5" spans="1:12" x14ac:dyDescent="0.3">
      <c r="A5">
        <v>3605</v>
      </c>
      <c r="B5" t="s">
        <v>11</v>
      </c>
      <c r="F5" s="3" t="s">
        <v>164</v>
      </c>
      <c r="G5" s="3" t="s">
        <v>195</v>
      </c>
      <c r="I5" t="str">
        <f ca="1">OFFSET(A1,1,1)</f>
        <v>Mumbai</v>
      </c>
    </row>
    <row r="6" spans="1:12" x14ac:dyDescent="0.3">
      <c r="A6">
        <v>4890</v>
      </c>
      <c r="B6" t="s">
        <v>12</v>
      </c>
      <c r="F6" s="1" t="str">
        <f>INDEX(B1:B12,MATCH(B2,B1:B12,0))</f>
        <v>Mumbai</v>
      </c>
      <c r="G6" s="1">
        <f>INDEX(A1:A12,MATCH(F6,B1:B12,0))</f>
        <v>9000</v>
      </c>
      <c r="I6" t="str">
        <f t="shared" ref="I6:I8" ca="1" si="0">OFFSET(A2,1,1)</f>
        <v>Pune</v>
      </c>
    </row>
    <row r="7" spans="1:12" x14ac:dyDescent="0.3">
      <c r="A7">
        <v>5627</v>
      </c>
      <c r="B7" t="s">
        <v>13</v>
      </c>
      <c r="F7" s="1" t="str">
        <f t="shared" ref="F7:F9" si="1">INDEX(B2:B13,MATCH(B3,B2:B13,0))</f>
        <v>Pune</v>
      </c>
      <c r="G7" s="1">
        <f t="shared" ref="G7:G9" si="2">INDEX(A2:A13,MATCH(F7,B2:B13,0))</f>
        <v>5290</v>
      </c>
      <c r="I7" t="str">
        <f t="shared" ca="1" si="0"/>
        <v>Banglore</v>
      </c>
    </row>
    <row r="8" spans="1:12" x14ac:dyDescent="0.3">
      <c r="A8">
        <v>8823</v>
      </c>
      <c r="B8" t="s">
        <v>14</v>
      </c>
      <c r="F8" s="1" t="str">
        <f t="shared" si="1"/>
        <v>Banglore</v>
      </c>
      <c r="G8" s="1">
        <f t="shared" si="2"/>
        <v>7204</v>
      </c>
      <c r="I8" t="str">
        <f t="shared" ca="1" si="0"/>
        <v>Lucknow</v>
      </c>
    </row>
    <row r="9" spans="1:12" x14ac:dyDescent="0.3">
      <c r="A9">
        <v>2471</v>
      </c>
      <c r="B9" t="s">
        <v>15</v>
      </c>
      <c r="F9" s="1" t="str">
        <f t="shared" si="1"/>
        <v>Lucknow</v>
      </c>
      <c r="G9" s="1">
        <f t="shared" si="2"/>
        <v>3605</v>
      </c>
    </row>
    <row r="10" spans="1:12" x14ac:dyDescent="0.3">
      <c r="A10">
        <v>1972</v>
      </c>
      <c r="B10" t="s">
        <v>16</v>
      </c>
    </row>
    <row r="11" spans="1:12" x14ac:dyDescent="0.3">
      <c r="A11">
        <v>1938</v>
      </c>
      <c r="B11" t="s">
        <v>17</v>
      </c>
    </row>
    <row r="12" spans="1:12" x14ac:dyDescent="0.3">
      <c r="A12">
        <v>6140</v>
      </c>
      <c r="B12" t="s">
        <v>18</v>
      </c>
      <c r="F12" t="str">
        <f>INDEX(B2:B12,MATCH(B2,B2:B12,0))</f>
        <v>Mumbai</v>
      </c>
    </row>
    <row r="13" spans="1:12" x14ac:dyDescent="0.3">
      <c r="F13" t="str">
        <f t="shared" ref="F13:F15" si="3">INDEX(B3:B13,MATCH(B3,B3:B13,0))</f>
        <v>Pune</v>
      </c>
      <c r="J13" t="str" cm="1">
        <f t="array" aca="1" ref="J13:J16" ca="1">OFFSET(A1,1,1,4,1)</f>
        <v>Mumbai</v>
      </c>
      <c r="K13">
        <f ca="1">INDEX(A2:A12,MATCH(J13,B2:B3,0))</f>
        <v>9000</v>
      </c>
    </row>
    <row r="14" spans="1:12" x14ac:dyDescent="0.3">
      <c r="F14" t="str">
        <f t="shared" si="3"/>
        <v>Banglore</v>
      </c>
      <c r="J14" t="str">
        <f ca="1"/>
        <v>Pune</v>
      </c>
      <c r="K14">
        <f t="shared" ref="K14:K16" ca="1" si="4">INDEX(A3:A13,MATCH(J14,B3:B4,0))</f>
        <v>5290</v>
      </c>
    </row>
    <row r="15" spans="1:12" x14ac:dyDescent="0.3">
      <c r="F15" t="str">
        <f t="shared" si="3"/>
        <v>Lucknow</v>
      </c>
      <c r="J15" t="str">
        <f ca="1"/>
        <v>Banglore</v>
      </c>
      <c r="K15">
        <f t="shared" ca="1" si="4"/>
        <v>7204</v>
      </c>
    </row>
    <row r="16" spans="1:12" x14ac:dyDescent="0.3">
      <c r="J16" t="str">
        <f ca="1"/>
        <v>Lucknow</v>
      </c>
      <c r="K16">
        <f t="shared" ca="1" si="4"/>
        <v>3605</v>
      </c>
    </row>
  </sheetData>
  <mergeCells count="1">
    <mergeCell ref="F3:J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4"/>
  <sheetViews>
    <sheetView topLeftCell="A2" workbookViewId="0">
      <selection activeCell="C11" sqref="C11"/>
    </sheetView>
  </sheetViews>
  <sheetFormatPr defaultRowHeight="14.4" x14ac:dyDescent="0.3"/>
  <cols>
    <col min="1" max="1" width="111.88671875" bestFit="1" customWidth="1"/>
    <col min="3" max="3" width="42.88671875" bestFit="1" customWidth="1"/>
  </cols>
  <sheetData>
    <row r="1" spans="1:10" ht="15" thickBot="1" x14ac:dyDescent="0.35">
      <c r="A1" s="6" t="s">
        <v>20</v>
      </c>
      <c r="C1" s="3" t="s">
        <v>5</v>
      </c>
      <c r="F1" s="3" t="s">
        <v>64</v>
      </c>
    </row>
    <row r="2" spans="1:10" ht="15" thickBot="1" x14ac:dyDescent="0.35">
      <c r="A2" s="7" t="s">
        <v>21</v>
      </c>
      <c r="C2" s="1" t="s">
        <v>192</v>
      </c>
    </row>
    <row r="3" spans="1:10" ht="15" thickBot="1" x14ac:dyDescent="0.35">
      <c r="A3" s="8" t="s">
        <v>22</v>
      </c>
      <c r="C3" s="1" t="str">
        <f>MID(A3,FIND("[",A3)+1,FIND("]",A3)-FIND("[",A3)-1)</f>
        <v>Attendance.xls</v>
      </c>
      <c r="E3" s="36" t="s">
        <v>25</v>
      </c>
      <c r="F3" s="37"/>
      <c r="G3" s="37"/>
      <c r="H3" s="37"/>
      <c r="I3" s="37"/>
      <c r="J3" s="38"/>
    </row>
    <row r="4" spans="1:10" x14ac:dyDescent="0.3">
      <c r="A4" s="8" t="s">
        <v>23</v>
      </c>
      <c r="C4" s="1" t="str">
        <f t="shared" ref="C4:C15" si="0">MID(A4,FIND("[",A4)+1,FIND("]",A4)-FIND("[",A4)-1)</f>
        <v>Production Data.xls</v>
      </c>
    </row>
    <row r="5" spans="1:10" x14ac:dyDescent="0.3">
      <c r="A5" s="8" t="s">
        <v>24</v>
      </c>
      <c r="C5" s="1" t="str">
        <f t="shared" si="0"/>
        <v>Weekly Production.xls</v>
      </c>
    </row>
    <row r="6" spans="1:10" x14ac:dyDescent="0.3">
      <c r="A6" s="8" t="s">
        <v>21</v>
      </c>
      <c r="C6" s="1" t="str">
        <f t="shared" si="0"/>
        <v>Week3.xls</v>
      </c>
    </row>
    <row r="7" spans="1:10" x14ac:dyDescent="0.3">
      <c r="A7" s="8" t="s">
        <v>21</v>
      </c>
      <c r="C7" s="1" t="str">
        <f t="shared" si="0"/>
        <v>Week3.xls</v>
      </c>
    </row>
    <row r="8" spans="1:10" x14ac:dyDescent="0.3">
      <c r="A8" s="8" t="s">
        <v>21</v>
      </c>
      <c r="C8" s="1" t="str">
        <f t="shared" si="0"/>
        <v>Week3.xls</v>
      </c>
    </row>
    <row r="9" spans="1:10" x14ac:dyDescent="0.3">
      <c r="A9" s="8" t="s">
        <v>21</v>
      </c>
      <c r="C9" s="1" t="str">
        <f t="shared" si="0"/>
        <v>Week3.xls</v>
      </c>
      <c r="F9">
        <f>FIND("\",A2)</f>
        <v>3</v>
      </c>
    </row>
    <row r="10" spans="1:10" x14ac:dyDescent="0.3">
      <c r="A10" s="8" t="s">
        <v>21</v>
      </c>
      <c r="C10" s="1" t="str">
        <f t="shared" si="0"/>
        <v>Week3.xls</v>
      </c>
      <c r="F10">
        <f>FIND("\",A2,FIND("\",A2)+1)</f>
        <v>26</v>
      </c>
    </row>
    <row r="11" spans="1:10" x14ac:dyDescent="0.3">
      <c r="A11" s="8" t="s">
        <v>23</v>
      </c>
      <c r="C11" s="1" t="str">
        <f t="shared" si="0"/>
        <v>Production Data.xls</v>
      </c>
      <c r="F11">
        <f>FIND("\",A2,FIND("\",A2,FIND("\",A2)+1)+1)</f>
        <v>58</v>
      </c>
    </row>
    <row r="12" spans="1:10" x14ac:dyDescent="0.3">
      <c r="A12" s="8" t="s">
        <v>24</v>
      </c>
      <c r="C12" s="1" t="str">
        <f t="shared" si="0"/>
        <v>Weekly Production.xls</v>
      </c>
      <c r="F12">
        <f>FIND("\",A2,FIND("\",A2,FIND("\",A2,FIND("\",A2)+1)+1)+1)</f>
        <v>64</v>
      </c>
    </row>
    <row r="13" spans="1:10" x14ac:dyDescent="0.3">
      <c r="A13" s="8" t="s">
        <v>21</v>
      </c>
      <c r="C13" s="1" t="str">
        <f t="shared" si="0"/>
        <v>Week3.xls</v>
      </c>
      <c r="F13">
        <f>LEN(A2)</f>
        <v>106</v>
      </c>
    </row>
    <row r="14" spans="1:10" x14ac:dyDescent="0.3">
      <c r="A14" s="8" t="s">
        <v>21</v>
      </c>
      <c r="C14" s="1" t="str">
        <f t="shared" si="0"/>
        <v>Week3.xls</v>
      </c>
    </row>
    <row r="15" spans="1:10" x14ac:dyDescent="0.3">
      <c r="A15" s="8" t="s">
        <v>23</v>
      </c>
      <c r="C15" s="1" t="str">
        <f t="shared" si="0"/>
        <v>Production Data.xls</v>
      </c>
      <c r="E15" t="s">
        <v>198</v>
      </c>
      <c r="F15">
        <f>106-64</f>
        <v>42</v>
      </c>
    </row>
    <row r="16" spans="1:10" x14ac:dyDescent="0.3">
      <c r="F16" t="str">
        <f>RIGHT(A2,42)</f>
        <v>[Week3.xls]Question for Left Right MId (2)</v>
      </c>
    </row>
    <row r="18" spans="1:4" x14ac:dyDescent="0.3">
      <c r="A18" t="str">
        <f>MID(A3,FIND("[",A3)+1,FIND("]",A3)-FIND("[",A3)-1)</f>
        <v>Attendance.xls</v>
      </c>
      <c r="C18" t="str">
        <f>MID(A4,FIND("[",A4)+1,FIND("]",A4)-FIND("[",A4)-1)</f>
        <v>Production Data.xls</v>
      </c>
    </row>
    <row r="19" spans="1:4" x14ac:dyDescent="0.3">
      <c r="C19" t="str">
        <f>MID(A5,FIND("g\",A5)+2,FIND("\W",A5)-FIND("g\",A5)-2)</f>
        <v>Excel Training Updated Syllabus</v>
      </c>
    </row>
    <row r="20" spans="1:4" x14ac:dyDescent="0.3">
      <c r="A20" t="s">
        <v>208</v>
      </c>
    </row>
    <row r="21" spans="1:4" x14ac:dyDescent="0.3">
      <c r="A21" t="str">
        <f>RIGHT(A20,LEN(A20)-FIND("y ",A20)-2)</f>
        <v>uhuhfeijgrijfdijb</v>
      </c>
      <c r="C21" t="str">
        <f>MID(A2,FIND("[",A2)+1,FIND("]",A2)-FIND("[",A2)-1)</f>
        <v>Week3.xls</v>
      </c>
    </row>
    <row r="22" spans="1:4" x14ac:dyDescent="0.3">
      <c r="A22" t="e">
        <f>MID(A20,FIND("==",A20)+2,FIND("-p",A20)-FIND("==",A20)-2)</f>
        <v>#VALUE!</v>
      </c>
    </row>
    <row r="23" spans="1:4" x14ac:dyDescent="0.3">
      <c r="C23">
        <f>FIND("[",A2)</f>
        <v>65</v>
      </c>
      <c r="D23" t="str">
        <f>MID(A2,C23+1,C24-C23-1)</f>
        <v>Week3.xls</v>
      </c>
    </row>
    <row r="24" spans="1:4" x14ac:dyDescent="0.3">
      <c r="A24" t="s">
        <v>197</v>
      </c>
      <c r="B24" t="str">
        <f>RIGHT(A24,LEN(A24)-FIND(" ",A24))</f>
        <v>roy</v>
      </c>
      <c r="C24">
        <f>FIND("]",A2)</f>
        <v>75</v>
      </c>
    </row>
  </sheetData>
  <mergeCells count="1">
    <mergeCell ref="E3:J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D2:N18"/>
  <sheetViews>
    <sheetView showGridLines="0" workbookViewId="0">
      <selection activeCell="K11" sqref="K11"/>
    </sheetView>
  </sheetViews>
  <sheetFormatPr defaultRowHeight="14.4" x14ac:dyDescent="0.3"/>
  <cols>
    <col min="4" max="4" width="12.6640625" customWidth="1"/>
    <col min="5" max="5" width="13.5546875" customWidth="1"/>
    <col min="11" max="11" width="31.109375" bestFit="1" customWidth="1"/>
  </cols>
  <sheetData>
    <row r="2" spans="4:14" ht="15" thickBot="1" x14ac:dyDescent="0.35"/>
    <row r="3" spans="4:14" ht="15" thickBot="1" x14ac:dyDescent="0.35">
      <c r="D3" s="9" t="s">
        <v>26</v>
      </c>
      <c r="E3" s="9" t="s">
        <v>7</v>
      </c>
      <c r="H3" s="9" t="s">
        <v>26</v>
      </c>
      <c r="I3" s="9" t="s">
        <v>7</v>
      </c>
      <c r="K3" s="5" t="s">
        <v>31</v>
      </c>
      <c r="N3" s="3" t="s">
        <v>65</v>
      </c>
    </row>
    <row r="4" spans="4:14" x14ac:dyDescent="0.3">
      <c r="D4" s="1" t="s">
        <v>27</v>
      </c>
      <c r="E4" s="1">
        <v>72013</v>
      </c>
      <c r="H4" s="1" t="s">
        <v>27</v>
      </c>
      <c r="I4" s="1">
        <f t="array" ref="I4">MAX(IF($D$4:$D$18=H4,$E$4:$E$18,""))</f>
        <v>79297</v>
      </c>
    </row>
    <row r="5" spans="4:14" x14ac:dyDescent="0.3">
      <c r="D5" s="1" t="s">
        <v>27</v>
      </c>
      <c r="E5" s="1">
        <v>79297</v>
      </c>
      <c r="H5" s="1" t="s">
        <v>28</v>
      </c>
      <c r="I5" s="1">
        <f t="array" ref="I5">MAX(IF($D$4:$D$18=H5,$E$4:$E$18,""))</f>
        <v>85356</v>
      </c>
    </row>
    <row r="6" spans="4:14" x14ac:dyDescent="0.3">
      <c r="D6" s="1" t="s">
        <v>27</v>
      </c>
      <c r="E6" s="1">
        <v>36765</v>
      </c>
      <c r="H6" s="1" t="s">
        <v>29</v>
      </c>
      <c r="I6" s="1">
        <f t="array" ref="I6">MAX(IF($D$4:$D$18=H6,$E$4:$E$18,""))</f>
        <v>95094</v>
      </c>
    </row>
    <row r="7" spans="4:14" x14ac:dyDescent="0.3">
      <c r="D7" s="1" t="s">
        <v>28</v>
      </c>
      <c r="E7" s="1">
        <v>74716</v>
      </c>
      <c r="H7" s="1" t="s">
        <v>30</v>
      </c>
      <c r="I7" s="1">
        <f t="array" ref="I7">MAX(IF($D$4:$D$18=H7,$E$4:$E$18,""))</f>
        <v>82944</v>
      </c>
    </row>
    <row r="8" spans="4:14" x14ac:dyDescent="0.3">
      <c r="D8" s="1" t="s">
        <v>28</v>
      </c>
      <c r="E8" s="1">
        <v>79680</v>
      </c>
    </row>
    <row r="9" spans="4:14" x14ac:dyDescent="0.3">
      <c r="D9" s="1" t="s">
        <v>28</v>
      </c>
      <c r="E9" s="1">
        <v>48770</v>
      </c>
      <c r="K9" cm="1">
        <f t="array" ref="K9">SUM(IF($D$4:$D$18="TATA",$E$4:$E$18,""))</f>
        <v>188075</v>
      </c>
    </row>
    <row r="10" spans="4:14" x14ac:dyDescent="0.3">
      <c r="D10" s="1" t="s">
        <v>28</v>
      </c>
      <c r="E10" s="1">
        <v>85356</v>
      </c>
    </row>
    <row r="11" spans="4:14" x14ac:dyDescent="0.3">
      <c r="D11" s="1" t="s">
        <v>29</v>
      </c>
      <c r="E11" s="1">
        <v>95094</v>
      </c>
      <c r="K11" cm="1">
        <f t="array" ref="K11">MAX(IF($D$4:$D$18=H5,$E$4:$E$18,""))</f>
        <v>85356</v>
      </c>
    </row>
    <row r="12" spans="4:14" x14ac:dyDescent="0.3">
      <c r="D12" s="1" t="s">
        <v>29</v>
      </c>
      <c r="E12" s="1">
        <v>78045</v>
      </c>
    </row>
    <row r="13" spans="4:14" x14ac:dyDescent="0.3">
      <c r="D13" s="1" t="s">
        <v>29</v>
      </c>
      <c r="E13" s="1">
        <v>44210</v>
      </c>
    </row>
    <row r="14" spans="4:14" x14ac:dyDescent="0.3">
      <c r="D14" s="1" t="s">
        <v>29</v>
      </c>
      <c r="E14" s="1">
        <v>35343</v>
      </c>
    </row>
    <row r="15" spans="4:14" x14ac:dyDescent="0.3">
      <c r="D15" s="1" t="s">
        <v>30</v>
      </c>
      <c r="E15" s="1">
        <v>31909</v>
      </c>
    </row>
    <row r="16" spans="4:14" x14ac:dyDescent="0.3">
      <c r="D16" s="1" t="s">
        <v>30</v>
      </c>
      <c r="E16" s="1">
        <v>27468</v>
      </c>
    </row>
    <row r="17" spans="4:5" x14ac:dyDescent="0.3">
      <c r="D17" s="1" t="s">
        <v>30</v>
      </c>
      <c r="E17" s="1">
        <v>82944</v>
      </c>
    </row>
    <row r="18" spans="4:5" x14ac:dyDescent="0.3">
      <c r="D18" s="1" t="s">
        <v>30</v>
      </c>
      <c r="E18" s="1">
        <v>42423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17"/>
  <sheetViews>
    <sheetView showGridLines="0" workbookViewId="0">
      <selection activeCell="H6" sqref="H6"/>
    </sheetView>
  </sheetViews>
  <sheetFormatPr defaultRowHeight="14.4" x14ac:dyDescent="0.3"/>
  <cols>
    <col min="1" max="1" width="6.88671875" customWidth="1"/>
    <col min="2" max="2" width="9.33203125" bestFit="1" customWidth="1"/>
    <col min="3" max="3" width="8.88671875" customWidth="1"/>
    <col min="4" max="4" width="0.88671875" customWidth="1"/>
    <col min="5" max="5" width="0.109375" customWidth="1"/>
    <col min="10" max="10" width="44.109375" bestFit="1" customWidth="1"/>
  </cols>
  <sheetData>
    <row r="1" spans="1:13" x14ac:dyDescent="0.3">
      <c r="A1" s="2" t="s">
        <v>32</v>
      </c>
      <c r="B1" s="2" t="s">
        <v>33</v>
      </c>
      <c r="C1" s="2" t="s">
        <v>7</v>
      </c>
      <c r="F1" s="1" t="s">
        <v>32</v>
      </c>
      <c r="G1" s="1" t="s">
        <v>33</v>
      </c>
      <c r="H1" s="1" t="s">
        <v>85</v>
      </c>
    </row>
    <row r="2" spans="1:13" ht="15" thickBot="1" x14ac:dyDescent="0.35">
      <c r="A2" s="10" t="s">
        <v>34</v>
      </c>
      <c r="B2" s="2" t="s">
        <v>35</v>
      </c>
      <c r="C2" s="2">
        <v>49938</v>
      </c>
      <c r="F2" s="32">
        <v>1001</v>
      </c>
      <c r="G2" s="35" t="str">
        <f>VLOOKUP(SUBSTITUTE(LEFT(FIXED(F2),FIND(".",FIXED(F2))-1),",",""),$A$1:$C$8,2,0)</f>
        <v>Ajay</v>
      </c>
      <c r="H2" s="1">
        <f>VLOOKUP($G2,$B$1:$C$8,2,0)</f>
        <v>49938</v>
      </c>
      <c r="M2" s="3" t="s">
        <v>64</v>
      </c>
    </row>
    <row r="3" spans="1:13" ht="15" thickBot="1" x14ac:dyDescent="0.35">
      <c r="A3" s="10" t="s">
        <v>36</v>
      </c>
      <c r="B3" s="2" t="s">
        <v>37</v>
      </c>
      <c r="C3" s="2">
        <v>86363</v>
      </c>
      <c r="F3" s="32">
        <v>1002</v>
      </c>
      <c r="G3" s="35" t="str">
        <f t="shared" ref="G3:G8" si="0">VLOOKUP(SUBSTITUTE(LEFT(FIXED(F3),FIND(".",FIXED(F3))-1),",",""),$A$1:$C$8,2,0)</f>
        <v>Mukesh</v>
      </c>
      <c r="H3" s="1">
        <f t="shared" ref="H3:H8" si="1">VLOOKUP($G3,$B$1:$C$8,2,0)</f>
        <v>86363</v>
      </c>
      <c r="J3" s="5" t="s">
        <v>84</v>
      </c>
    </row>
    <row r="4" spans="1:13" x14ac:dyDescent="0.3">
      <c r="A4" s="10" t="s">
        <v>38</v>
      </c>
      <c r="B4" s="2" t="s">
        <v>39</v>
      </c>
      <c r="C4" s="2">
        <v>32169</v>
      </c>
      <c r="F4" s="32">
        <v>1003</v>
      </c>
      <c r="G4" s="35" t="str">
        <f t="shared" si="0"/>
        <v>Anoop</v>
      </c>
      <c r="H4" s="1">
        <f t="shared" si="1"/>
        <v>32169</v>
      </c>
    </row>
    <row r="5" spans="1:13" x14ac:dyDescent="0.3">
      <c r="A5" s="10" t="s">
        <v>40</v>
      </c>
      <c r="B5" s="2" t="s">
        <v>41</v>
      </c>
      <c r="C5" s="2">
        <v>71482</v>
      </c>
      <c r="F5" s="32">
        <v>1004</v>
      </c>
      <c r="G5" s="35" t="str">
        <f t="shared" si="0"/>
        <v>Rahul</v>
      </c>
      <c r="H5" s="1">
        <f t="shared" si="1"/>
        <v>71482</v>
      </c>
    </row>
    <row r="6" spans="1:13" x14ac:dyDescent="0.3">
      <c r="A6" s="10" t="s">
        <v>42</v>
      </c>
      <c r="B6" s="2" t="s">
        <v>43</v>
      </c>
      <c r="C6" s="2">
        <v>60434</v>
      </c>
      <c r="F6" s="32">
        <v>1005</v>
      </c>
      <c r="G6" s="35" t="str">
        <f t="shared" si="0"/>
        <v>Ram</v>
      </c>
      <c r="H6" s="1">
        <f t="shared" si="1"/>
        <v>60434</v>
      </c>
    </row>
    <row r="7" spans="1:13" x14ac:dyDescent="0.3">
      <c r="A7" s="10" t="s">
        <v>44</v>
      </c>
      <c r="B7" s="2" t="s">
        <v>45</v>
      </c>
      <c r="C7" s="2">
        <v>71436</v>
      </c>
      <c r="F7" s="32">
        <v>1006</v>
      </c>
      <c r="G7" s="35" t="str">
        <f t="shared" si="0"/>
        <v>Raju</v>
      </c>
      <c r="H7" s="1">
        <f t="shared" si="1"/>
        <v>71436</v>
      </c>
    </row>
    <row r="8" spans="1:13" x14ac:dyDescent="0.3">
      <c r="A8" s="10" t="s">
        <v>46</v>
      </c>
      <c r="B8" s="2" t="s">
        <v>47</v>
      </c>
      <c r="C8" s="2">
        <v>96286</v>
      </c>
      <c r="F8" s="32">
        <v>1007</v>
      </c>
      <c r="G8" s="35" t="str">
        <f t="shared" si="0"/>
        <v>Abhishek</v>
      </c>
      <c r="H8" s="1">
        <f t="shared" si="1"/>
        <v>96286</v>
      </c>
    </row>
    <row r="10" spans="1:13" x14ac:dyDescent="0.3">
      <c r="A10" s="2" t="s">
        <v>32</v>
      </c>
      <c r="B10" s="2" t="s">
        <v>33</v>
      </c>
      <c r="C10" s="2" t="s">
        <v>7</v>
      </c>
      <c r="F10" s="1" t="s">
        <v>32</v>
      </c>
      <c r="G10" s="1" t="s">
        <v>33</v>
      </c>
      <c r="H10" s="1" t="s">
        <v>85</v>
      </c>
    </row>
    <row r="11" spans="1:13" x14ac:dyDescent="0.3">
      <c r="A11" s="2">
        <v>1001</v>
      </c>
      <c r="B11" s="2" t="s">
        <v>35</v>
      </c>
      <c r="C11" s="2">
        <v>49938</v>
      </c>
      <c r="F11" s="33" t="s">
        <v>34</v>
      </c>
      <c r="G11" s="1" t="str">
        <f>VLOOKUP(VALUE(F11),$A$10:$C$17,2,0)</f>
        <v>Ajay</v>
      </c>
      <c r="H11" s="1"/>
    </row>
    <row r="12" spans="1:13" x14ac:dyDescent="0.3">
      <c r="A12" s="2">
        <v>1002</v>
      </c>
      <c r="B12" s="2" t="s">
        <v>37</v>
      </c>
      <c r="C12" s="2">
        <v>86363</v>
      </c>
      <c r="F12" s="33" t="s">
        <v>36</v>
      </c>
      <c r="G12" s="1" t="str">
        <f t="shared" ref="G12:G17" si="2">VLOOKUP(VALUE(F12),$A$10:$C$17,2,0)</f>
        <v>Mukesh</v>
      </c>
      <c r="H12" s="1"/>
    </row>
    <row r="13" spans="1:13" x14ac:dyDescent="0.3">
      <c r="A13" s="2">
        <v>1003</v>
      </c>
      <c r="B13" s="2" t="s">
        <v>39</v>
      </c>
      <c r="C13" s="2">
        <v>32169</v>
      </c>
      <c r="F13" s="33" t="s">
        <v>38</v>
      </c>
      <c r="G13" s="1" t="str">
        <f t="shared" si="2"/>
        <v>Anoop</v>
      </c>
      <c r="H13" s="1"/>
    </row>
    <row r="14" spans="1:13" x14ac:dyDescent="0.3">
      <c r="A14" s="2">
        <v>1004</v>
      </c>
      <c r="B14" s="2" t="s">
        <v>41</v>
      </c>
      <c r="C14" s="2">
        <v>71482</v>
      </c>
      <c r="F14" s="33" t="s">
        <v>40</v>
      </c>
      <c r="G14" s="1" t="str">
        <f t="shared" si="2"/>
        <v>Rahul</v>
      </c>
      <c r="H14" s="1"/>
    </row>
    <row r="15" spans="1:13" x14ac:dyDescent="0.3">
      <c r="A15" s="2">
        <v>1005</v>
      </c>
      <c r="B15" s="2" t="s">
        <v>43</v>
      </c>
      <c r="C15" s="2">
        <v>60434</v>
      </c>
      <c r="F15" s="33" t="s">
        <v>42</v>
      </c>
      <c r="G15" s="1" t="str">
        <f t="shared" si="2"/>
        <v>Ram</v>
      </c>
      <c r="H15" s="1"/>
    </row>
    <row r="16" spans="1:13" x14ac:dyDescent="0.3">
      <c r="A16" s="2">
        <v>1006</v>
      </c>
      <c r="B16" s="2" t="s">
        <v>45</v>
      </c>
      <c r="C16" s="2">
        <v>71436</v>
      </c>
      <c r="F16" s="33" t="s">
        <v>44</v>
      </c>
      <c r="G16" s="1" t="str">
        <f t="shared" si="2"/>
        <v>Raju</v>
      </c>
      <c r="H16" s="1"/>
    </row>
    <row r="17" spans="1:8" x14ac:dyDescent="0.3">
      <c r="A17" s="2">
        <v>1007</v>
      </c>
      <c r="B17" s="2" t="s">
        <v>47</v>
      </c>
      <c r="C17" s="2">
        <v>96286</v>
      </c>
      <c r="F17" s="33" t="s">
        <v>46</v>
      </c>
      <c r="G17" s="1" t="str">
        <f t="shared" si="2"/>
        <v>Abhishek</v>
      </c>
      <c r="H17" s="1"/>
    </row>
  </sheetData>
  <pageMargins left="0.7" right="0.7" top="0.75" bottom="0.75" header="0.3" footer="0.3"/>
  <ignoredErrors>
    <ignoredError sqref="A2:A8 F11:F17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6"/>
  <sheetViews>
    <sheetView showGridLines="0" zoomScale="120" zoomScaleNormal="120" workbookViewId="0">
      <selection activeCell="B2" sqref="B2"/>
    </sheetView>
  </sheetViews>
  <sheetFormatPr defaultRowHeight="14.4" x14ac:dyDescent="0.3"/>
  <cols>
    <col min="1" max="1" width="19" bestFit="1" customWidth="1"/>
    <col min="4" max="4" width="11.44140625" bestFit="1" customWidth="1"/>
    <col min="5" max="5" width="13.88671875" customWidth="1"/>
    <col min="6" max="6" width="26.5546875" bestFit="1" customWidth="1"/>
  </cols>
  <sheetData>
    <row r="1" spans="1:9" ht="15" thickBot="1" x14ac:dyDescent="0.35">
      <c r="A1" s="27" t="s">
        <v>48</v>
      </c>
      <c r="B1" s="27" t="s">
        <v>48</v>
      </c>
      <c r="C1" s="27" t="s">
        <v>49</v>
      </c>
    </row>
    <row r="2" spans="1:9" ht="15" thickBot="1" x14ac:dyDescent="0.35">
      <c r="A2" s="1" t="s">
        <v>60</v>
      </c>
      <c r="B2" s="1"/>
      <c r="C2" s="1"/>
      <c r="D2" t="str">
        <f t="array" aca="1" ref="D2" ca="1">LEFT(A2, MIN(IF(ISNUMBER(VALUE(MID(A2,ROW(INDIRECT("1:"&amp;LEN(A2))),1))), ROW(INDIRECT("1:"&amp;LEN(A2)))))-1)</f>
        <v/>
      </c>
      <c r="E2" t="str">
        <f t="array" ref="E2">LEFT(A2, MIN(IFERROR(FIND({0,1,2,3,4,5,6,7,8,9}, A2),LEN(A2)))-1)</f>
        <v/>
      </c>
      <c r="F2" s="5" t="s">
        <v>59</v>
      </c>
      <c r="I2" s="3" t="s">
        <v>65</v>
      </c>
    </row>
    <row r="3" spans="1:9" x14ac:dyDescent="0.3">
      <c r="A3" s="1" t="s">
        <v>196</v>
      </c>
      <c r="B3" s="1"/>
      <c r="C3" s="1"/>
      <c r="D3" t="str" cm="1">
        <f t="array" aca="1" ref="D3" ca="1">LEFT(A3, MIN(IF(ISNUMBER(VALUE(MID(A3,ROW(INDIRECT("1:"&amp;LEN(A3))),1))), ROW(INDIRECT("1:"&amp;LEN(A3)))))-1)</f>
        <v/>
      </c>
    </row>
    <row r="4" spans="1:9" x14ac:dyDescent="0.3">
      <c r="A4" s="1" t="s">
        <v>50</v>
      </c>
      <c r="B4" s="1"/>
      <c r="C4" s="1"/>
      <c r="D4" t="str" cm="1">
        <f t="array" aca="1" ref="D4" ca="1">LEFT(A4, MIN(IF(ISNUMBER(VALUE(MID(A4,ROW(INDIRECT("1:"&amp;LEN(A4))),1))), ROW(INDIRECT("1:"&amp;LEN(A4)))))-1)</f>
        <v/>
      </c>
    </row>
    <row r="5" spans="1:9" x14ac:dyDescent="0.3">
      <c r="A5" s="1" t="s">
        <v>51</v>
      </c>
      <c r="B5" s="1"/>
      <c r="C5" s="1"/>
      <c r="D5" t="str" cm="1">
        <f t="array" aca="1" ref="D5" ca="1">LEFT(A5, MIN(IF(ISNUMBER(VALUE(MID(A5,ROW(INDIRECT("1:"&amp;LEN(A5))),1))), ROW(INDIRECT("1:"&amp;LEN(A5)))))-1)</f>
        <v/>
      </c>
    </row>
    <row r="6" spans="1:9" x14ac:dyDescent="0.3">
      <c r="A6" s="1" t="s">
        <v>52</v>
      </c>
      <c r="B6" s="1"/>
      <c r="C6" s="1"/>
      <c r="D6" t="str" cm="1">
        <f t="array" aca="1" ref="D6" ca="1">LEFT(A6, MIN(IF(ISNUMBER(VALUE(MID(A6,ROW(INDIRECT("1:"&amp;LEN(A6))),1))), ROW(INDIRECT("1:"&amp;LEN(A6)))))-1)</f>
        <v/>
      </c>
    </row>
    <row r="7" spans="1:9" x14ac:dyDescent="0.3">
      <c r="A7" s="1" t="s">
        <v>61</v>
      </c>
      <c r="B7" s="1"/>
      <c r="C7" s="1"/>
      <c r="D7" t="str" cm="1">
        <f t="array" aca="1" ref="D7" ca="1">LEFT(A7, MIN(IF(ISNUMBER(VALUE(MID(A7,ROW(INDIRECT("1:"&amp;LEN(A7))),1))), ROW(INDIRECT("1:"&amp;LEN(A7)))))-1)</f>
        <v/>
      </c>
    </row>
    <row r="8" spans="1:9" x14ac:dyDescent="0.3">
      <c r="A8" s="1" t="s">
        <v>90</v>
      </c>
      <c r="B8" s="1"/>
      <c r="C8" s="1"/>
      <c r="D8" t="str" cm="1">
        <f t="array" aca="1" ref="D8" ca="1">LEFT(A8, MIN(IF(ISNUMBER(VALUE(MID(A8,ROW(INDIRECT("1:"&amp;LEN(A8))),1))), ROW(INDIRECT("1:"&amp;LEN(A8)))))-1)</f>
        <v/>
      </c>
    </row>
    <row r="9" spans="1:9" x14ac:dyDescent="0.3">
      <c r="A9" s="1" t="s">
        <v>62</v>
      </c>
      <c r="B9" s="1"/>
      <c r="C9" s="1"/>
      <c r="D9" t="str" cm="1">
        <f t="array" aca="1" ref="D9" ca="1">LEFT(A9, MIN(IF(ISNUMBER(VALUE(MID(A9,ROW(INDIRECT("1:"&amp;LEN(A9))),1))), ROW(INDIRECT("1:"&amp;LEN(A9)))))-1)</f>
        <v/>
      </c>
    </row>
    <row r="10" spans="1:9" x14ac:dyDescent="0.3">
      <c r="A10" s="1" t="s">
        <v>91</v>
      </c>
      <c r="B10" s="1"/>
      <c r="C10" s="1"/>
      <c r="D10" t="str" cm="1">
        <f t="array" aca="1" ref="D10" ca="1">LEFT(A10, MIN(IF(ISNUMBER(VALUE(MID(A10,ROW(INDIRECT("1:"&amp;LEN(A10))),1))), ROW(INDIRECT("1:"&amp;LEN(A10)))))-1)</f>
        <v/>
      </c>
    </row>
    <row r="11" spans="1:9" x14ac:dyDescent="0.3">
      <c r="A11" s="1" t="s">
        <v>53</v>
      </c>
      <c r="B11" s="1"/>
      <c r="C11" s="1"/>
    </row>
    <row r="12" spans="1:9" x14ac:dyDescent="0.3">
      <c r="A12" s="1" t="s">
        <v>54</v>
      </c>
      <c r="B12" s="1"/>
      <c r="C12" s="1"/>
    </row>
    <row r="13" spans="1:9" x14ac:dyDescent="0.3">
      <c r="A13" s="1" t="s">
        <v>55</v>
      </c>
      <c r="B13" s="1"/>
      <c r="C13" s="1"/>
    </row>
    <row r="14" spans="1:9" x14ac:dyDescent="0.3">
      <c r="A14" s="1" t="s">
        <v>56</v>
      </c>
      <c r="B14" s="1"/>
      <c r="C14" s="1"/>
    </row>
    <row r="15" spans="1:9" x14ac:dyDescent="0.3">
      <c r="A15" s="1" t="s">
        <v>57</v>
      </c>
      <c r="B15" s="1"/>
      <c r="C15" s="1"/>
    </row>
    <row r="16" spans="1:9" x14ac:dyDescent="0.3">
      <c r="A16" s="1" t="s">
        <v>58</v>
      </c>
      <c r="B16" s="1"/>
      <c r="C1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C1:L26"/>
  <sheetViews>
    <sheetView showGridLines="0" workbookViewId="0">
      <selection activeCell="D17" sqref="D17"/>
    </sheetView>
  </sheetViews>
  <sheetFormatPr defaultRowHeight="14.4" x14ac:dyDescent="0.3"/>
  <cols>
    <col min="3" max="3" width="50.6640625" bestFit="1" customWidth="1"/>
  </cols>
  <sheetData>
    <row r="1" spans="3:12" ht="15" thickBot="1" x14ac:dyDescent="0.35"/>
    <row r="2" spans="3:12" ht="15" thickBot="1" x14ac:dyDescent="0.35">
      <c r="C2" s="5" t="s">
        <v>66</v>
      </c>
      <c r="I2" s="3" t="s">
        <v>63</v>
      </c>
    </row>
    <row r="5" spans="3:12" x14ac:dyDescent="0.3">
      <c r="F5" s="11">
        <v>68</v>
      </c>
      <c r="G5" s="11">
        <v>21</v>
      </c>
      <c r="H5" s="11">
        <v>46</v>
      </c>
      <c r="I5" s="11">
        <v>31</v>
      </c>
      <c r="J5" s="11">
        <v>25</v>
      </c>
      <c r="K5" s="11">
        <v>67</v>
      </c>
      <c r="L5" s="11">
        <v>47</v>
      </c>
    </row>
    <row r="6" spans="3:12" x14ac:dyDescent="0.3">
      <c r="F6" s="11">
        <v>40</v>
      </c>
      <c r="G6" s="11">
        <v>61</v>
      </c>
      <c r="H6" s="11">
        <v>28</v>
      </c>
      <c r="I6" s="11">
        <v>23</v>
      </c>
      <c r="J6" s="11">
        <v>65</v>
      </c>
      <c r="K6" s="11">
        <v>43</v>
      </c>
      <c r="L6" s="11">
        <v>48</v>
      </c>
    </row>
    <row r="7" spans="3:12" x14ac:dyDescent="0.3">
      <c r="F7" s="11">
        <v>49</v>
      </c>
      <c r="G7" s="11">
        <v>65</v>
      </c>
      <c r="H7" s="11">
        <v>52</v>
      </c>
      <c r="I7" s="11">
        <v>57</v>
      </c>
      <c r="J7" s="11">
        <v>56</v>
      </c>
      <c r="K7" s="11">
        <v>21</v>
      </c>
      <c r="L7" s="11">
        <v>51</v>
      </c>
    </row>
    <row r="8" spans="3:12" x14ac:dyDescent="0.3">
      <c r="F8" s="11">
        <v>27</v>
      </c>
      <c r="G8" s="11">
        <v>100</v>
      </c>
      <c r="H8" s="11">
        <v>46</v>
      </c>
      <c r="I8" s="11">
        <v>64</v>
      </c>
      <c r="J8" s="11">
        <v>51</v>
      </c>
      <c r="K8" s="11">
        <v>400</v>
      </c>
      <c r="L8" s="11">
        <v>33</v>
      </c>
    </row>
    <row r="9" spans="3:12" x14ac:dyDescent="0.3">
      <c r="F9" s="11">
        <v>49</v>
      </c>
      <c r="G9" s="11">
        <v>69</v>
      </c>
      <c r="H9" s="11">
        <v>49</v>
      </c>
      <c r="I9" s="11">
        <v>52</v>
      </c>
      <c r="J9" s="11">
        <v>40</v>
      </c>
      <c r="K9" s="11">
        <v>60</v>
      </c>
      <c r="L9" s="11">
        <v>28</v>
      </c>
    </row>
    <row r="10" spans="3:12" x14ac:dyDescent="0.3">
      <c r="F10" s="11">
        <v>42</v>
      </c>
      <c r="G10" s="11">
        <v>67</v>
      </c>
      <c r="H10" s="11">
        <v>58</v>
      </c>
      <c r="I10" s="11">
        <v>200</v>
      </c>
      <c r="J10" s="11">
        <v>51</v>
      </c>
      <c r="K10" s="11">
        <v>59</v>
      </c>
      <c r="L10" s="11">
        <v>51</v>
      </c>
    </row>
    <row r="11" spans="3:12" x14ac:dyDescent="0.3">
      <c r="F11" s="11">
        <v>50</v>
      </c>
      <c r="G11" s="11">
        <v>32</v>
      </c>
      <c r="H11" s="11">
        <v>34</v>
      </c>
      <c r="I11" s="11">
        <v>45</v>
      </c>
      <c r="J11" s="11">
        <v>37</v>
      </c>
      <c r="K11" s="11">
        <v>50</v>
      </c>
      <c r="L11" s="11">
        <v>56</v>
      </c>
    </row>
    <row r="12" spans="3:12" x14ac:dyDescent="0.3">
      <c r="F12" s="11">
        <v>43</v>
      </c>
      <c r="G12" s="11">
        <v>870</v>
      </c>
      <c r="H12" s="11">
        <v>61</v>
      </c>
      <c r="I12" s="11">
        <v>35</v>
      </c>
      <c r="J12" s="11">
        <v>22</v>
      </c>
      <c r="K12" s="11">
        <v>900</v>
      </c>
      <c r="L12" s="11">
        <v>58</v>
      </c>
    </row>
    <row r="13" spans="3:12" x14ac:dyDescent="0.3">
      <c r="F13" s="11">
        <v>63</v>
      </c>
      <c r="G13" s="11">
        <v>36</v>
      </c>
      <c r="H13" s="11">
        <v>69</v>
      </c>
      <c r="I13" s="11">
        <v>24</v>
      </c>
      <c r="J13" s="11">
        <v>64</v>
      </c>
      <c r="K13" s="11">
        <v>33</v>
      </c>
      <c r="L13" s="11">
        <v>27</v>
      </c>
    </row>
    <row r="14" spans="3:12" x14ac:dyDescent="0.3">
      <c r="F14" s="11">
        <v>42</v>
      </c>
      <c r="G14" s="11">
        <v>65</v>
      </c>
      <c r="H14" s="11">
        <v>29</v>
      </c>
      <c r="I14" s="11">
        <v>29</v>
      </c>
      <c r="J14" s="11">
        <v>66</v>
      </c>
      <c r="K14" s="11">
        <v>41</v>
      </c>
      <c r="L14" s="11">
        <v>64</v>
      </c>
    </row>
    <row r="17" spans="3:10" x14ac:dyDescent="0.3">
      <c r="C17" s="13" t="s">
        <v>67</v>
      </c>
      <c r="D17" s="12">
        <f>SUMIFS($F$5:$L$14,$F$5:$L$14,"&gt;="&amp;100)</f>
        <v>2470</v>
      </c>
    </row>
    <row r="18" spans="3:10" x14ac:dyDescent="0.3">
      <c r="J18">
        <f>SUMIFS(F5:L14,F5:L14,"&gt;="&amp;100)</f>
        <v>2470</v>
      </c>
    </row>
    <row r="26" spans="3:10" x14ac:dyDescent="0.3">
      <c r="C26">
        <f>COUNTIF(F5:L14,"&gt;=100")</f>
        <v>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16"/>
  <sheetViews>
    <sheetView workbookViewId="0">
      <selection activeCell="M5" sqref="M5"/>
    </sheetView>
  </sheetViews>
  <sheetFormatPr defaultRowHeight="14.4" x14ac:dyDescent="0.3"/>
  <cols>
    <col min="11" max="11" width="12.6640625" customWidth="1"/>
    <col min="12" max="12" width="8.44140625" customWidth="1"/>
    <col min="13" max="13" width="18.109375" customWidth="1"/>
  </cols>
  <sheetData>
    <row r="1" spans="1:14" x14ac:dyDescent="0.3">
      <c r="A1" s="14" t="s">
        <v>68</v>
      </c>
      <c r="B1" s="15"/>
      <c r="C1" s="15"/>
      <c r="D1" s="14" t="s">
        <v>69</v>
      </c>
      <c r="E1" s="15"/>
      <c r="F1" s="15"/>
      <c r="G1" s="14" t="s">
        <v>70</v>
      </c>
      <c r="H1" s="15"/>
      <c r="N1" s="3" t="s">
        <v>64</v>
      </c>
    </row>
    <row r="2" spans="1:14" x14ac:dyDescent="0.3">
      <c r="A2" s="16" t="s">
        <v>71</v>
      </c>
      <c r="B2" s="16" t="s">
        <v>72</v>
      </c>
      <c r="C2" s="14"/>
      <c r="D2" s="16" t="s">
        <v>71</v>
      </c>
      <c r="E2" s="16" t="s">
        <v>72</v>
      </c>
      <c r="F2" s="14"/>
      <c r="G2" s="16" t="s">
        <v>71</v>
      </c>
      <c r="H2" s="16" t="s">
        <v>72</v>
      </c>
    </row>
    <row r="3" spans="1:14" x14ac:dyDescent="0.3">
      <c r="A3" s="17">
        <v>1</v>
      </c>
      <c r="B3" s="17">
        <v>50</v>
      </c>
      <c r="C3" s="15"/>
      <c r="D3" s="17">
        <v>14</v>
      </c>
      <c r="E3" s="17">
        <v>50</v>
      </c>
      <c r="F3" s="15"/>
      <c r="G3" s="17">
        <v>27</v>
      </c>
      <c r="H3" s="17">
        <v>50</v>
      </c>
      <c r="L3" s="18"/>
      <c r="M3" s="18"/>
    </row>
    <row r="4" spans="1:14" x14ac:dyDescent="0.3">
      <c r="A4" s="17">
        <v>2</v>
      </c>
      <c r="B4" s="17">
        <v>55</v>
      </c>
      <c r="C4" s="15"/>
      <c r="D4" s="17">
        <v>15</v>
      </c>
      <c r="E4" s="17">
        <v>55</v>
      </c>
      <c r="F4" s="15"/>
      <c r="G4" s="17">
        <f t="shared" ref="G4:G15" si="0">G3+1</f>
        <v>28</v>
      </c>
      <c r="H4" s="17">
        <v>55</v>
      </c>
      <c r="L4" s="16" t="s">
        <v>71</v>
      </c>
      <c r="M4" s="16" t="s">
        <v>72</v>
      </c>
    </row>
    <row r="5" spans="1:14" x14ac:dyDescent="0.3">
      <c r="A5" s="17">
        <v>3</v>
      </c>
      <c r="B5" s="17">
        <v>60</v>
      </c>
      <c r="C5" s="15"/>
      <c r="D5" s="17">
        <v>16</v>
      </c>
      <c r="E5" s="17">
        <v>60</v>
      </c>
      <c r="F5" s="15"/>
      <c r="G5" s="17">
        <f t="shared" si="0"/>
        <v>29</v>
      </c>
      <c r="H5" s="17">
        <v>60</v>
      </c>
      <c r="L5" s="17">
        <v>1</v>
      </c>
      <c r="M5" s="16">
        <f>IFERROR(IFERROR(IFERROR(VLOOKUP(L5,$A$2:$B$15,2,0),VLOOKUP(L5,$D$2:$E$15,2,0)),VLOOKUP(L5,$G$2:$H$15,2,0)),"Data Does not Exist")</f>
        <v>50</v>
      </c>
    </row>
    <row r="6" spans="1:14" x14ac:dyDescent="0.3">
      <c r="A6" s="17">
        <v>4</v>
      </c>
      <c r="B6" s="17">
        <v>65</v>
      </c>
      <c r="C6" s="15"/>
      <c r="D6" s="17">
        <v>17</v>
      </c>
      <c r="E6" s="17">
        <v>65</v>
      </c>
      <c r="F6" s="15"/>
      <c r="G6" s="17">
        <f t="shared" si="0"/>
        <v>30</v>
      </c>
      <c r="H6" s="17">
        <v>65</v>
      </c>
      <c r="L6" s="17">
        <v>2</v>
      </c>
      <c r="M6" s="16">
        <f t="shared" ref="M6:M12" si="1">IFERROR(IFERROR(IFERROR(VLOOKUP(L6,$A$2:$B$15,2,0),VLOOKUP(L6,$D$2:$E$15,2,0)),VLOOKUP(L6,$G$2:$H$15,2,0)),"Data Does not Exist")</f>
        <v>55</v>
      </c>
    </row>
    <row r="7" spans="1:14" x14ac:dyDescent="0.3">
      <c r="A7" s="17">
        <v>5</v>
      </c>
      <c r="B7" s="17">
        <v>70</v>
      </c>
      <c r="C7" s="15"/>
      <c r="D7" s="17">
        <v>18</v>
      </c>
      <c r="E7" s="17">
        <v>70</v>
      </c>
      <c r="F7" s="15"/>
      <c r="G7" s="17">
        <f t="shared" si="0"/>
        <v>31</v>
      </c>
      <c r="H7" s="17">
        <v>70</v>
      </c>
      <c r="L7" s="17">
        <v>14</v>
      </c>
      <c r="M7" s="16">
        <f t="shared" si="1"/>
        <v>50</v>
      </c>
    </row>
    <row r="8" spans="1:14" x14ac:dyDescent="0.3">
      <c r="A8" s="17">
        <v>6</v>
      </c>
      <c r="B8" s="17">
        <v>75</v>
      </c>
      <c r="C8" s="15"/>
      <c r="D8" s="17">
        <v>19</v>
      </c>
      <c r="E8" s="17">
        <v>75</v>
      </c>
      <c r="F8" s="15"/>
      <c r="G8" s="17">
        <f t="shared" si="0"/>
        <v>32</v>
      </c>
      <c r="H8" s="17">
        <v>75</v>
      </c>
      <c r="L8" s="17">
        <v>15</v>
      </c>
      <c r="M8" s="16">
        <f t="shared" si="1"/>
        <v>55</v>
      </c>
    </row>
    <row r="9" spans="1:14" x14ac:dyDescent="0.3">
      <c r="A9" s="17">
        <v>7</v>
      </c>
      <c r="B9" s="17">
        <v>80</v>
      </c>
      <c r="C9" s="15"/>
      <c r="D9" s="17">
        <v>20</v>
      </c>
      <c r="E9" s="17">
        <v>80</v>
      </c>
      <c r="F9" s="15"/>
      <c r="G9" s="17">
        <f t="shared" si="0"/>
        <v>33</v>
      </c>
      <c r="H9" s="17">
        <v>80</v>
      </c>
      <c r="L9" s="17">
        <v>27</v>
      </c>
      <c r="M9" s="16">
        <f t="shared" si="1"/>
        <v>50</v>
      </c>
    </row>
    <row r="10" spans="1:14" x14ac:dyDescent="0.3">
      <c r="A10" s="17">
        <v>8</v>
      </c>
      <c r="B10" s="17">
        <v>85</v>
      </c>
      <c r="C10" s="15"/>
      <c r="D10" s="17">
        <v>21</v>
      </c>
      <c r="E10" s="17">
        <v>85</v>
      </c>
      <c r="F10" s="15"/>
      <c r="G10" s="17">
        <f t="shared" si="0"/>
        <v>34</v>
      </c>
      <c r="H10" s="17">
        <v>85</v>
      </c>
      <c r="L10" s="17">
        <v>28</v>
      </c>
      <c r="M10" s="16">
        <f t="shared" si="1"/>
        <v>55</v>
      </c>
    </row>
    <row r="11" spans="1:14" x14ac:dyDescent="0.3">
      <c r="A11" s="17">
        <v>9</v>
      </c>
      <c r="B11" s="17">
        <v>90</v>
      </c>
      <c r="C11" s="15"/>
      <c r="D11" s="17">
        <v>22</v>
      </c>
      <c r="E11" s="17">
        <v>90</v>
      </c>
      <c r="F11" s="15"/>
      <c r="G11" s="17">
        <f t="shared" si="0"/>
        <v>35</v>
      </c>
      <c r="H11" s="17">
        <v>90</v>
      </c>
      <c r="L11" s="17">
        <v>29</v>
      </c>
      <c r="M11" s="16">
        <f t="shared" si="1"/>
        <v>60</v>
      </c>
    </row>
    <row r="12" spans="1:14" x14ac:dyDescent="0.3">
      <c r="A12" s="17">
        <v>10</v>
      </c>
      <c r="B12" s="17">
        <v>95</v>
      </c>
      <c r="C12" s="15"/>
      <c r="D12" s="17">
        <v>23</v>
      </c>
      <c r="E12" s="17">
        <v>95</v>
      </c>
      <c r="F12" s="15"/>
      <c r="G12" s="17">
        <f t="shared" si="0"/>
        <v>36</v>
      </c>
      <c r="H12" s="17">
        <v>95</v>
      </c>
      <c r="L12" s="17">
        <v>51</v>
      </c>
      <c r="M12" s="16" t="str">
        <f t="shared" si="1"/>
        <v>Data Does not Exist</v>
      </c>
    </row>
    <row r="13" spans="1:14" x14ac:dyDescent="0.3">
      <c r="A13" s="17">
        <v>11</v>
      </c>
      <c r="B13" s="17">
        <v>100</v>
      </c>
      <c r="C13" s="15"/>
      <c r="D13" s="17">
        <v>24</v>
      </c>
      <c r="E13" s="17">
        <v>100</v>
      </c>
      <c r="F13" s="15"/>
      <c r="G13" s="17">
        <f t="shared" si="0"/>
        <v>37</v>
      </c>
      <c r="H13" s="17">
        <v>100</v>
      </c>
    </row>
    <row r="14" spans="1:14" x14ac:dyDescent="0.3">
      <c r="A14" s="17">
        <v>12</v>
      </c>
      <c r="B14" s="17">
        <v>105</v>
      </c>
      <c r="C14" s="15"/>
      <c r="D14" s="17">
        <v>25</v>
      </c>
      <c r="E14" s="17">
        <v>105</v>
      </c>
      <c r="F14" s="15"/>
      <c r="G14" s="17">
        <f t="shared" si="0"/>
        <v>38</v>
      </c>
      <c r="H14" s="17">
        <v>105</v>
      </c>
    </row>
    <row r="15" spans="1:14" ht="15" thickBot="1" x14ac:dyDescent="0.35">
      <c r="A15" s="17">
        <v>13</v>
      </c>
      <c r="B15" s="17">
        <v>110</v>
      </c>
      <c r="C15" s="15"/>
      <c r="D15" s="17">
        <v>26</v>
      </c>
      <c r="E15" s="17">
        <v>110</v>
      </c>
      <c r="F15" s="15"/>
      <c r="G15" s="17">
        <f t="shared" si="0"/>
        <v>39</v>
      </c>
      <c r="H15" s="17">
        <v>110</v>
      </c>
    </row>
    <row r="16" spans="1:14" ht="15" thickBot="1" x14ac:dyDescent="0.35">
      <c r="K16" s="36" t="s">
        <v>73</v>
      </c>
      <c r="L16" s="37"/>
      <c r="M16" s="37"/>
      <c r="N16" s="38"/>
    </row>
  </sheetData>
  <mergeCells count="1">
    <mergeCell ref="K16:N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22"/>
  <sheetViews>
    <sheetView workbookViewId="0">
      <selection activeCell="L15" sqref="L15"/>
    </sheetView>
  </sheetViews>
  <sheetFormatPr defaultRowHeight="14.4" x14ac:dyDescent="0.3"/>
  <cols>
    <col min="13" max="13" width="29.6640625" bestFit="1" customWidth="1"/>
  </cols>
  <sheetData>
    <row r="1" spans="1:15" ht="15" thickBot="1" x14ac:dyDescent="0.35">
      <c r="A1" s="39" t="s">
        <v>74</v>
      </c>
      <c r="B1" s="40"/>
      <c r="C1" s="40"/>
      <c r="D1" s="40"/>
      <c r="E1" s="40"/>
      <c r="F1" s="41"/>
      <c r="I1" s="16" t="s">
        <v>75</v>
      </c>
      <c r="J1" s="16" t="s">
        <v>76</v>
      </c>
      <c r="K1" s="16" t="s">
        <v>77</v>
      </c>
      <c r="O1" s="3" t="s">
        <v>63</v>
      </c>
    </row>
    <row r="2" spans="1:15" ht="15" thickBot="1" x14ac:dyDescent="0.35">
      <c r="A2" s="29" t="s">
        <v>78</v>
      </c>
      <c r="B2" s="29">
        <v>100</v>
      </c>
      <c r="C2" s="29">
        <f>B2+100</f>
        <v>200</v>
      </c>
      <c r="D2" s="29">
        <f>C2+100</f>
        <v>300</v>
      </c>
      <c r="E2" s="29">
        <f>D2+100</f>
        <v>400</v>
      </c>
      <c r="F2" s="29">
        <f>E2+100</f>
        <v>500</v>
      </c>
      <c r="I2" s="17">
        <v>100</v>
      </c>
      <c r="J2" s="17" t="s">
        <v>79</v>
      </c>
      <c r="K2" s="17">
        <f>INDEX($B$3:$F$6,MATCH(J2,$A$3:$A$6,0),MATCH(I2,$B$2:$F$2,0))</f>
        <v>0.6</v>
      </c>
      <c r="M2" s="6" t="s">
        <v>83</v>
      </c>
    </row>
    <row r="3" spans="1:15" x14ac:dyDescent="0.3">
      <c r="A3" s="19" t="s">
        <v>79</v>
      </c>
      <c r="B3" s="19">
        <v>0.6</v>
      </c>
      <c r="C3" s="19">
        <f>B3+0.1</f>
        <v>0.7</v>
      </c>
      <c r="D3" s="19">
        <f>C3+0.1</f>
        <v>0.79999999999999993</v>
      </c>
      <c r="E3" s="19">
        <f>D3+0.1</f>
        <v>0.89999999999999991</v>
      </c>
      <c r="F3" s="19">
        <f>E3+0.1</f>
        <v>0.99999999999999989</v>
      </c>
      <c r="I3" s="17">
        <v>200</v>
      </c>
      <c r="J3" s="17" t="s">
        <v>80</v>
      </c>
      <c r="K3" s="17">
        <f t="shared" ref="K3:K10" si="0">INDEX($B$3:$F$6,MATCH(J3,$A$3:$A$6,0),MATCH(I3,$B$2:$F$2,0))</f>
        <v>0.79999999999999993</v>
      </c>
    </row>
    <row r="4" spans="1:15" x14ac:dyDescent="0.3">
      <c r="A4" s="19" t="s">
        <v>80</v>
      </c>
      <c r="B4" s="19">
        <f t="shared" ref="B4:F6" si="1">B3+0.1</f>
        <v>0.7</v>
      </c>
      <c r="C4" s="19">
        <f t="shared" si="1"/>
        <v>0.79999999999999993</v>
      </c>
      <c r="D4" s="19">
        <f t="shared" si="1"/>
        <v>0.89999999999999991</v>
      </c>
      <c r="E4" s="19">
        <f t="shared" si="1"/>
        <v>0.99999999999999989</v>
      </c>
      <c r="F4" s="19">
        <f t="shared" si="1"/>
        <v>1.0999999999999999</v>
      </c>
      <c r="I4" s="17">
        <v>300</v>
      </c>
      <c r="J4" s="17" t="s">
        <v>81</v>
      </c>
      <c r="K4" s="17">
        <f t="shared" si="0"/>
        <v>0.99999999999999989</v>
      </c>
    </row>
    <row r="5" spans="1:15" x14ac:dyDescent="0.3">
      <c r="A5" s="19" t="s">
        <v>81</v>
      </c>
      <c r="B5" s="19">
        <f t="shared" si="1"/>
        <v>0.79999999999999993</v>
      </c>
      <c r="C5" s="19">
        <f t="shared" si="1"/>
        <v>0.89999999999999991</v>
      </c>
      <c r="D5" s="19">
        <f t="shared" si="1"/>
        <v>0.99999999999999989</v>
      </c>
      <c r="E5" s="19">
        <f t="shared" si="1"/>
        <v>1.0999999999999999</v>
      </c>
      <c r="F5" s="19">
        <f t="shared" si="1"/>
        <v>1.2</v>
      </c>
      <c r="I5" s="17">
        <v>400</v>
      </c>
      <c r="J5" s="17" t="s">
        <v>82</v>
      </c>
      <c r="K5" s="17">
        <f t="shared" si="0"/>
        <v>1.2</v>
      </c>
    </row>
    <row r="6" spans="1:15" x14ac:dyDescent="0.3">
      <c r="A6" s="19" t="s">
        <v>82</v>
      </c>
      <c r="B6" s="19">
        <f t="shared" si="1"/>
        <v>0.89999999999999991</v>
      </c>
      <c r="C6" s="19">
        <f t="shared" si="1"/>
        <v>0.99999999999999989</v>
      </c>
      <c r="D6" s="19">
        <f t="shared" si="1"/>
        <v>1.0999999999999999</v>
      </c>
      <c r="E6" s="19">
        <f t="shared" si="1"/>
        <v>1.2</v>
      </c>
      <c r="F6" s="19">
        <f t="shared" si="1"/>
        <v>1.3</v>
      </c>
      <c r="I6" s="17">
        <v>500</v>
      </c>
      <c r="J6" s="17" t="s">
        <v>79</v>
      </c>
      <c r="K6" s="17">
        <f t="shared" si="0"/>
        <v>0.99999999999999989</v>
      </c>
    </row>
    <row r="7" spans="1:15" x14ac:dyDescent="0.3">
      <c r="I7" s="17">
        <v>100</v>
      </c>
      <c r="J7" s="17" t="s">
        <v>80</v>
      </c>
      <c r="K7" s="17">
        <f t="shared" si="0"/>
        <v>0.7</v>
      </c>
    </row>
    <row r="8" spans="1:15" x14ac:dyDescent="0.3">
      <c r="I8" s="17">
        <v>200</v>
      </c>
      <c r="J8" s="17" t="s">
        <v>81</v>
      </c>
      <c r="K8" s="17">
        <f t="shared" si="0"/>
        <v>0.89999999999999991</v>
      </c>
    </row>
    <row r="9" spans="1:15" x14ac:dyDescent="0.3">
      <c r="I9" s="17">
        <v>300</v>
      </c>
      <c r="J9" s="17" t="s">
        <v>82</v>
      </c>
      <c r="K9" s="17">
        <f t="shared" si="0"/>
        <v>1.0999999999999999</v>
      </c>
    </row>
    <row r="10" spans="1:15" x14ac:dyDescent="0.3">
      <c r="I10" s="17">
        <v>400</v>
      </c>
      <c r="J10" s="17" t="s">
        <v>79</v>
      </c>
      <c r="K10" s="17">
        <f t="shared" si="0"/>
        <v>0.89999999999999991</v>
      </c>
    </row>
    <row r="13" spans="1:15" x14ac:dyDescent="0.3">
      <c r="D13" s="16" t="s">
        <v>75</v>
      </c>
      <c r="E13" s="16" t="s">
        <v>76</v>
      </c>
      <c r="J13" s="29" t="s">
        <v>78</v>
      </c>
      <c r="K13" s="29">
        <v>100</v>
      </c>
      <c r="L13" s="29">
        <f>K13+100</f>
        <v>200</v>
      </c>
      <c r="M13" s="29">
        <f>L13+100</f>
        <v>300</v>
      </c>
      <c r="N13" s="29">
        <f>M13+100</f>
        <v>400</v>
      </c>
      <c r="O13" s="29">
        <f>N13+100</f>
        <v>500</v>
      </c>
    </row>
    <row r="14" spans="1:15" x14ac:dyDescent="0.3">
      <c r="D14" s="17">
        <v>100</v>
      </c>
      <c r="E14" s="17" t="s">
        <v>79</v>
      </c>
      <c r="F14" t="e">
        <f>#REF!=INDEX($B$3:$F$6,MATCH(E14,$A$3:$A$6,0),MATCH(D14,$B$2:$F$2,0))</f>
        <v>#REF!</v>
      </c>
      <c r="J14" s="19" t="s">
        <v>79</v>
      </c>
      <c r="K14" cm="1">
        <f t="array" ref="K14:O14">_xlfn.XLOOKUP(J14,A3:A6,B3:F6)</f>
        <v>0.6</v>
      </c>
      <c r="L14">
        <v>0.7</v>
      </c>
      <c r="M14">
        <v>0.79999999999999993</v>
      </c>
      <c r="N14">
        <v>0.89999999999999991</v>
      </c>
      <c r="O14">
        <v>0.99999999999999989</v>
      </c>
    </row>
    <row r="15" spans="1:15" x14ac:dyDescent="0.3">
      <c r="D15" s="17">
        <v>200</v>
      </c>
      <c r="E15" s="17" t="s">
        <v>80</v>
      </c>
      <c r="F15">
        <f t="shared" ref="F15:F22" si="2">INDEX($B$3:$F$6,MATCH(E15,$A$3:$A$6,0),MATCH(D15,$B$2:$F$2,0))</f>
        <v>0.79999999999999993</v>
      </c>
      <c r="J15" s="19" t="s">
        <v>80</v>
      </c>
      <c r="K15" cm="1">
        <f t="array" ref="K15:O15">_xlfn.XLOOKUP(J15,A4:A7,B4:F7)</f>
        <v>0.7</v>
      </c>
      <c r="L15">
        <v>0.79999999999999993</v>
      </c>
      <c r="M15">
        <v>0.89999999999999991</v>
      </c>
      <c r="N15">
        <v>0.99999999999999989</v>
      </c>
      <c r="O15">
        <v>1.0999999999999999</v>
      </c>
    </row>
    <row r="16" spans="1:15" x14ac:dyDescent="0.3">
      <c r="D16" s="17">
        <v>300</v>
      </c>
      <c r="E16" s="17" t="s">
        <v>81</v>
      </c>
      <c r="F16">
        <f t="shared" si="2"/>
        <v>0.99999999999999989</v>
      </c>
      <c r="J16" s="19" t="s">
        <v>81</v>
      </c>
      <c r="K16" cm="1">
        <f t="array" ref="K16:O16">_xlfn.XLOOKUP(J16,A5:A8,B5:F8)</f>
        <v>0.79999999999999993</v>
      </c>
      <c r="L16">
        <v>0.89999999999999991</v>
      </c>
      <c r="M16">
        <v>0.99999999999999989</v>
      </c>
      <c r="N16">
        <v>1.0999999999999999</v>
      </c>
      <c r="O16">
        <v>1.2</v>
      </c>
    </row>
    <row r="17" spans="4:15" x14ac:dyDescent="0.3">
      <c r="D17" s="17">
        <v>400</v>
      </c>
      <c r="E17" s="17" t="s">
        <v>82</v>
      </c>
      <c r="F17">
        <f t="shared" si="2"/>
        <v>1.2</v>
      </c>
      <c r="J17" s="19" t="s">
        <v>82</v>
      </c>
      <c r="K17" cm="1">
        <f t="array" ref="K17:O17">_xlfn.XLOOKUP(J17,A6:A9,B6:F9)</f>
        <v>0.89999999999999991</v>
      </c>
      <c r="L17">
        <v>0.99999999999999989</v>
      </c>
      <c r="M17">
        <v>1.0999999999999999</v>
      </c>
      <c r="N17">
        <v>1.2</v>
      </c>
      <c r="O17">
        <v>1.3</v>
      </c>
    </row>
    <row r="18" spans="4:15" x14ac:dyDescent="0.3">
      <c r="D18" s="17">
        <v>500</v>
      </c>
      <c r="E18" s="17" t="s">
        <v>79</v>
      </c>
      <c r="F18">
        <f t="shared" si="2"/>
        <v>0.99999999999999989</v>
      </c>
    </row>
    <row r="19" spans="4:15" x14ac:dyDescent="0.3">
      <c r="D19" s="17">
        <v>100</v>
      </c>
      <c r="E19" s="17" t="s">
        <v>80</v>
      </c>
      <c r="F19">
        <f t="shared" si="2"/>
        <v>0.7</v>
      </c>
    </row>
    <row r="20" spans="4:15" x14ac:dyDescent="0.3">
      <c r="D20" s="17">
        <v>200</v>
      </c>
      <c r="E20" s="17" t="s">
        <v>81</v>
      </c>
      <c r="F20">
        <f t="shared" si="2"/>
        <v>0.89999999999999991</v>
      </c>
    </row>
    <row r="21" spans="4:15" x14ac:dyDescent="0.3">
      <c r="D21" s="17">
        <v>300</v>
      </c>
      <c r="E21" s="17" t="s">
        <v>82</v>
      </c>
      <c r="F21">
        <f t="shared" si="2"/>
        <v>1.0999999999999999</v>
      </c>
    </row>
    <row r="22" spans="4:15" x14ac:dyDescent="0.3">
      <c r="D22" s="17">
        <v>400</v>
      </c>
      <c r="E22" s="17" t="s">
        <v>79</v>
      </c>
      <c r="F22">
        <f t="shared" si="2"/>
        <v>0.89999999999999991</v>
      </c>
    </row>
  </sheetData>
  <mergeCells count="1">
    <mergeCell ref="A1:F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Q27"/>
  <sheetViews>
    <sheetView showGridLines="0" workbookViewId="0">
      <selection activeCell="I3" sqref="I3"/>
    </sheetView>
  </sheetViews>
  <sheetFormatPr defaultRowHeight="14.4" x14ac:dyDescent="0.3"/>
  <cols>
    <col min="1" max="1" width="17.44140625" bestFit="1" customWidth="1"/>
    <col min="2" max="2" width="10.33203125" customWidth="1"/>
    <col min="3" max="3" width="11.6640625" customWidth="1"/>
    <col min="4" max="4" width="11.109375" customWidth="1"/>
    <col min="5" max="5" width="12.6640625" customWidth="1"/>
    <col min="8" max="8" width="17.44140625" bestFit="1" customWidth="1"/>
    <col min="9" max="9" width="15.6640625" customWidth="1"/>
  </cols>
  <sheetData>
    <row r="1" spans="1:17" ht="26.4" x14ac:dyDescent="0.3">
      <c r="A1" s="21" t="s">
        <v>93</v>
      </c>
      <c r="B1" s="21" t="s">
        <v>166</v>
      </c>
      <c r="C1" s="21" t="s">
        <v>167</v>
      </c>
      <c r="D1" s="21" t="s">
        <v>168</v>
      </c>
      <c r="E1" s="21" t="s">
        <v>165</v>
      </c>
      <c r="H1" s="20" t="s">
        <v>93</v>
      </c>
      <c r="I1" s="20" t="s">
        <v>114</v>
      </c>
      <c r="N1" s="22" t="s">
        <v>63</v>
      </c>
    </row>
    <row r="2" spans="1:17" x14ac:dyDescent="0.3">
      <c r="A2" s="1" t="s">
        <v>94</v>
      </c>
      <c r="B2" s="1">
        <v>2053800</v>
      </c>
      <c r="C2" s="1">
        <v>2204142</v>
      </c>
      <c r="D2" s="1">
        <v>2964255</v>
      </c>
      <c r="E2" s="1">
        <v>7222197</v>
      </c>
      <c r="H2" s="1" t="s">
        <v>94</v>
      </c>
      <c r="I2" s="1">
        <f ca="1">SUM(OFFSET($A$1,MATCH(H2,$A$2:$A$21,0),1,1,4))</f>
        <v>14444394</v>
      </c>
    </row>
    <row r="3" spans="1:17" ht="15" thickBot="1" x14ac:dyDescent="0.35">
      <c r="A3" s="1" t="s">
        <v>95</v>
      </c>
      <c r="B3" s="1">
        <v>372447</v>
      </c>
      <c r="C3" s="1">
        <v>515397</v>
      </c>
      <c r="D3" s="1">
        <v>1172840</v>
      </c>
      <c r="E3" s="1">
        <v>2060684</v>
      </c>
      <c r="H3" s="1" t="s">
        <v>95</v>
      </c>
      <c r="I3" s="1">
        <f t="shared" ref="I3:I21" ca="1" si="0">SUM(OFFSET($A$1,MATCH(H3,$A$2:$A$21,0),1,1,4))</f>
        <v>4121368</v>
      </c>
    </row>
    <row r="4" spans="1:17" ht="15" thickBot="1" x14ac:dyDescent="0.35">
      <c r="A4" s="1" t="s">
        <v>96</v>
      </c>
      <c r="B4" s="1">
        <v>358150</v>
      </c>
      <c r="C4" s="1">
        <v>602644</v>
      </c>
      <c r="D4" s="1">
        <v>1266891</v>
      </c>
      <c r="E4" s="1">
        <v>2227685</v>
      </c>
      <c r="H4" s="1" t="s">
        <v>96</v>
      </c>
      <c r="I4" s="1">
        <f t="shared" ca="1" si="0"/>
        <v>4455370</v>
      </c>
      <c r="N4" s="5" t="s">
        <v>115</v>
      </c>
      <c r="O4" s="30"/>
      <c r="P4" s="30"/>
      <c r="Q4" s="31"/>
    </row>
    <row r="5" spans="1:17" x14ac:dyDescent="0.3">
      <c r="A5" s="1" t="s">
        <v>97</v>
      </c>
      <c r="B5" s="1">
        <v>2278532</v>
      </c>
      <c r="C5" s="1">
        <v>2492333</v>
      </c>
      <c r="D5" s="1">
        <v>2921292</v>
      </c>
      <c r="E5" s="1">
        <v>7692157</v>
      </c>
      <c r="H5" s="1" t="s">
        <v>97</v>
      </c>
      <c r="I5" s="1">
        <f t="shared" ca="1" si="0"/>
        <v>15384314</v>
      </c>
      <c r="N5">
        <f>SUMIF(A2:A21, A2, B2:E21)</f>
        <v>2053800</v>
      </c>
    </row>
    <row r="6" spans="1:17" x14ac:dyDescent="0.3">
      <c r="A6" s="1" t="s">
        <v>98</v>
      </c>
      <c r="B6" s="1">
        <v>1051932</v>
      </c>
      <c r="C6" s="1">
        <v>1172524</v>
      </c>
      <c r="D6" s="1">
        <v>1941074</v>
      </c>
      <c r="E6" s="1">
        <v>4165530</v>
      </c>
      <c r="H6" s="1" t="s">
        <v>98</v>
      </c>
      <c r="I6" s="1">
        <f t="shared" ca="1" si="0"/>
        <v>8331060</v>
      </c>
    </row>
    <row r="7" spans="1:17" x14ac:dyDescent="0.3">
      <c r="A7" s="1" t="s">
        <v>99</v>
      </c>
      <c r="B7" s="1">
        <v>381546</v>
      </c>
      <c r="C7" s="1">
        <v>574906</v>
      </c>
      <c r="D7" s="1">
        <v>1145636</v>
      </c>
      <c r="E7" s="1">
        <v>2102088</v>
      </c>
      <c r="H7" s="1" t="s">
        <v>99</v>
      </c>
      <c r="I7" s="1">
        <f t="shared" ca="1" si="0"/>
        <v>4204176</v>
      </c>
    </row>
    <row r="8" spans="1:17" x14ac:dyDescent="0.3">
      <c r="A8" s="1" t="s">
        <v>100</v>
      </c>
      <c r="B8" s="1">
        <v>1510375</v>
      </c>
      <c r="C8" s="1">
        <v>1707750</v>
      </c>
      <c r="D8" s="1">
        <v>2482973</v>
      </c>
      <c r="E8" s="1">
        <v>5701098</v>
      </c>
      <c r="H8" s="1" t="s">
        <v>100</v>
      </c>
      <c r="I8" s="1">
        <f t="shared" ca="1" si="0"/>
        <v>11402196</v>
      </c>
    </row>
    <row r="9" spans="1:17" x14ac:dyDescent="0.3">
      <c r="A9" s="1" t="s">
        <v>101</v>
      </c>
      <c r="B9" s="1">
        <v>461362</v>
      </c>
      <c r="C9" s="1">
        <v>633063</v>
      </c>
      <c r="D9" s="1">
        <v>1246120</v>
      </c>
      <c r="E9" s="1">
        <v>2340545</v>
      </c>
      <c r="H9" s="1" t="s">
        <v>101</v>
      </c>
      <c r="I9" s="1">
        <f t="shared" ca="1" si="0"/>
        <v>4681090</v>
      </c>
    </row>
    <row r="10" spans="1:17" x14ac:dyDescent="0.3">
      <c r="A10" s="1" t="s">
        <v>102</v>
      </c>
      <c r="B10" s="1">
        <v>2536576</v>
      </c>
      <c r="C10" s="1">
        <v>2691187</v>
      </c>
      <c r="D10" s="1">
        <v>3294985</v>
      </c>
      <c r="E10" s="1">
        <v>8522748</v>
      </c>
      <c r="H10" s="1" t="s">
        <v>102</v>
      </c>
      <c r="I10" s="1">
        <f t="shared" ca="1" si="0"/>
        <v>17045496</v>
      </c>
      <c r="M10" t="e">
        <f>SUMIFS(B2:E2,A1:E2,H2)</f>
        <v>#VALUE!</v>
      </c>
    </row>
    <row r="11" spans="1:17" x14ac:dyDescent="0.3">
      <c r="A11" s="1" t="s">
        <v>103</v>
      </c>
      <c r="B11" s="1">
        <v>1785532</v>
      </c>
      <c r="C11" s="1">
        <v>1990941</v>
      </c>
      <c r="D11" s="1">
        <v>2728686</v>
      </c>
      <c r="E11" s="1">
        <v>6505159</v>
      </c>
      <c r="H11" s="1" t="s">
        <v>103</v>
      </c>
      <c r="I11" s="1">
        <f t="shared" ca="1" si="0"/>
        <v>13010318</v>
      </c>
    </row>
    <row r="12" spans="1:17" x14ac:dyDescent="0.3">
      <c r="A12" s="1" t="s">
        <v>104</v>
      </c>
      <c r="B12" s="1">
        <v>175617</v>
      </c>
      <c r="C12" s="1">
        <v>372335</v>
      </c>
      <c r="D12" s="1">
        <v>892085</v>
      </c>
      <c r="E12" s="1">
        <v>1440037</v>
      </c>
      <c r="H12" s="1" t="s">
        <v>104</v>
      </c>
      <c r="I12" s="1">
        <f t="shared" ca="1" si="0"/>
        <v>2880074</v>
      </c>
      <c r="M12" t="s">
        <v>199</v>
      </c>
    </row>
    <row r="13" spans="1:17" x14ac:dyDescent="0.3">
      <c r="A13" s="1" t="s">
        <v>105</v>
      </c>
      <c r="B13" s="1">
        <v>712296</v>
      </c>
      <c r="C13" s="1">
        <v>940300</v>
      </c>
      <c r="D13" s="1">
        <v>1496692</v>
      </c>
      <c r="E13" s="1">
        <v>3149288</v>
      </c>
      <c r="H13" s="1" t="s">
        <v>105</v>
      </c>
      <c r="I13" s="1">
        <f t="shared" ca="1" si="0"/>
        <v>6298576</v>
      </c>
    </row>
    <row r="14" spans="1:17" x14ac:dyDescent="0.3">
      <c r="A14" s="1" t="s">
        <v>106</v>
      </c>
      <c r="B14" s="1">
        <v>651490</v>
      </c>
      <c r="C14" s="1">
        <v>786625</v>
      </c>
      <c r="D14" s="1">
        <v>1367382</v>
      </c>
      <c r="E14" s="1">
        <v>2805497</v>
      </c>
      <c r="H14" s="1" t="s">
        <v>106</v>
      </c>
      <c r="I14" s="1">
        <f t="shared" ca="1" si="0"/>
        <v>5610994</v>
      </c>
    </row>
    <row r="15" spans="1:17" x14ac:dyDescent="0.3">
      <c r="A15" s="1" t="s">
        <v>107</v>
      </c>
      <c r="B15" s="1">
        <v>338334</v>
      </c>
      <c r="C15" s="1">
        <v>493273</v>
      </c>
      <c r="D15" s="1">
        <v>1118594</v>
      </c>
      <c r="E15" s="1">
        <v>1950201</v>
      </c>
      <c r="H15" s="1" t="s">
        <v>107</v>
      </c>
      <c r="I15" s="1">
        <f t="shared" ca="1" si="0"/>
        <v>3900402</v>
      </c>
      <c r="O15">
        <f>SUMIFS(B2:B21,A2:A21,H2)</f>
        <v>2053800</v>
      </c>
    </row>
    <row r="16" spans="1:17" x14ac:dyDescent="0.3">
      <c r="A16" s="1" t="s">
        <v>108</v>
      </c>
      <c r="B16" s="1">
        <v>1565504</v>
      </c>
      <c r="C16" s="1">
        <v>1801363</v>
      </c>
      <c r="D16" s="1">
        <v>2312618</v>
      </c>
      <c r="E16" s="1">
        <v>5679485</v>
      </c>
      <c r="H16" s="1" t="s">
        <v>108</v>
      </c>
      <c r="I16" s="1">
        <f t="shared" ca="1" si="0"/>
        <v>11358970</v>
      </c>
    </row>
    <row r="17" spans="1:13" x14ac:dyDescent="0.3">
      <c r="A17" s="1" t="s">
        <v>109</v>
      </c>
      <c r="B17" s="1">
        <v>764280</v>
      </c>
      <c r="C17" s="1">
        <v>924667</v>
      </c>
      <c r="D17" s="1">
        <v>1567562</v>
      </c>
      <c r="E17" s="1">
        <v>3256509</v>
      </c>
      <c r="H17" s="1" t="s">
        <v>109</v>
      </c>
      <c r="I17" s="1">
        <f t="shared" ca="1" si="0"/>
        <v>6513018</v>
      </c>
      <c r="M17">
        <f>SUMIF(A2:A21,H2,B2:B21)+SUMIF(A2:A21,H2,C2:C21)+SUMIF(A2:A21,H2,D2:D21)+SUMIF(A2:A21,H2,E2:E21)</f>
        <v>14444394</v>
      </c>
    </row>
    <row r="18" spans="1:13" x14ac:dyDescent="0.3">
      <c r="A18" s="1" t="s">
        <v>110</v>
      </c>
      <c r="B18" s="1">
        <v>585375</v>
      </c>
      <c r="C18" s="1">
        <v>690822</v>
      </c>
      <c r="D18" s="1">
        <v>1384203</v>
      </c>
      <c r="E18" s="1">
        <v>2660400</v>
      </c>
      <c r="H18" s="1" t="s">
        <v>110</v>
      </c>
      <c r="I18" s="1">
        <f t="shared" ca="1" si="0"/>
        <v>5320800</v>
      </c>
    </row>
    <row r="19" spans="1:13" x14ac:dyDescent="0.3">
      <c r="A19" s="1" t="s">
        <v>111</v>
      </c>
      <c r="B19" s="1">
        <v>494199</v>
      </c>
      <c r="C19" s="1">
        <v>682875</v>
      </c>
      <c r="D19" s="1">
        <v>1230043</v>
      </c>
      <c r="E19" s="1">
        <v>2407117</v>
      </c>
      <c r="H19" s="1" t="s">
        <v>111</v>
      </c>
      <c r="I19" s="1">
        <f t="shared" ca="1" si="0"/>
        <v>4814234</v>
      </c>
    </row>
    <row r="20" spans="1:13" x14ac:dyDescent="0.3">
      <c r="A20" s="1" t="s">
        <v>112</v>
      </c>
      <c r="B20" s="1">
        <v>2218252</v>
      </c>
      <c r="C20" s="1">
        <v>2449531</v>
      </c>
      <c r="D20" s="1">
        <v>2893410</v>
      </c>
      <c r="E20" s="1">
        <v>7561193</v>
      </c>
      <c r="H20" s="1" t="s">
        <v>112</v>
      </c>
      <c r="I20" s="1">
        <f t="shared" ca="1" si="0"/>
        <v>15122386</v>
      </c>
    </row>
    <row r="21" spans="1:13" x14ac:dyDescent="0.3">
      <c r="A21" s="1" t="s">
        <v>113</v>
      </c>
      <c r="B21" s="1">
        <v>626076</v>
      </c>
      <c r="C21" s="1">
        <v>811152</v>
      </c>
      <c r="D21" s="1">
        <v>1512153</v>
      </c>
      <c r="E21" s="1">
        <v>2949381</v>
      </c>
      <c r="H21" s="1" t="s">
        <v>113</v>
      </c>
      <c r="I21" s="1">
        <f t="shared" ca="1" si="0"/>
        <v>5898762</v>
      </c>
    </row>
    <row r="27" spans="1:13" x14ac:dyDescent="0.3">
      <c r="D27">
        <f>SUM(B2:E2)</f>
        <v>14444394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29"/>
  <sheetViews>
    <sheetView showGridLines="0" workbookViewId="0">
      <selection activeCell="G2" sqref="G2"/>
    </sheetView>
  </sheetViews>
  <sheetFormatPr defaultRowHeight="14.4" x14ac:dyDescent="0.3"/>
  <cols>
    <col min="1" max="1" width="47.44140625" bestFit="1" customWidth="1"/>
    <col min="2" max="2" width="14.5546875" bestFit="1" customWidth="1"/>
    <col min="3" max="3" width="13.88671875" bestFit="1" customWidth="1"/>
    <col min="4" max="4" width="10.33203125" customWidth="1"/>
    <col min="6" max="6" width="12.44140625" bestFit="1" customWidth="1"/>
    <col min="7" max="7" width="13.109375" bestFit="1" customWidth="1"/>
  </cols>
  <sheetData>
    <row r="1" spans="1:11" ht="18" x14ac:dyDescent="0.3">
      <c r="A1" s="23" t="s">
        <v>116</v>
      </c>
      <c r="B1" s="23" t="s">
        <v>117</v>
      </c>
      <c r="C1" s="23" t="s">
        <v>118</v>
      </c>
      <c r="D1" s="23" t="s">
        <v>7</v>
      </c>
      <c r="F1" s="23" t="s">
        <v>116</v>
      </c>
      <c r="G1" s="23" t="s">
        <v>114</v>
      </c>
      <c r="J1" s="22" t="s">
        <v>63</v>
      </c>
    </row>
    <row r="2" spans="1:11" x14ac:dyDescent="0.3">
      <c r="A2" s="24" t="s">
        <v>119</v>
      </c>
      <c r="B2" s="24" t="s">
        <v>120</v>
      </c>
      <c r="C2" s="24" t="s">
        <v>121</v>
      </c>
      <c r="D2" s="24">
        <v>34712</v>
      </c>
      <c r="F2" s="24" t="s">
        <v>122</v>
      </c>
      <c r="G2" s="1">
        <f>IF(ISNUMBER(FIND(F2,A2)),D2,"")</f>
        <v>34712</v>
      </c>
    </row>
    <row r="3" spans="1:11" ht="15" thickBot="1" x14ac:dyDescent="0.35">
      <c r="A3" s="24" t="s">
        <v>123</v>
      </c>
      <c r="B3" s="24" t="s">
        <v>124</v>
      </c>
      <c r="C3" s="24" t="s">
        <v>125</v>
      </c>
      <c r="D3" s="24">
        <v>27518</v>
      </c>
      <c r="F3" s="24">
        <v>1108113999</v>
      </c>
      <c r="G3" s="1">
        <f t="shared" ref="G3:G29" si="0">IF(ISNUMBER(FIND(F3,A3)),D3,"")</f>
        <v>27518</v>
      </c>
    </row>
    <row r="4" spans="1:11" ht="15" thickBot="1" x14ac:dyDescent="0.35">
      <c r="A4" s="24">
        <v>1108403636</v>
      </c>
      <c r="B4" s="24" t="s">
        <v>124</v>
      </c>
      <c r="C4" s="24" t="s">
        <v>125</v>
      </c>
      <c r="D4" s="24">
        <v>52346</v>
      </c>
      <c r="F4" s="24">
        <v>1108403636</v>
      </c>
      <c r="G4" s="1">
        <f t="shared" si="0"/>
        <v>52346</v>
      </c>
      <c r="J4" s="25" t="s">
        <v>162</v>
      </c>
      <c r="K4" s="26"/>
    </row>
    <row r="5" spans="1:11" x14ac:dyDescent="0.3">
      <c r="A5" s="24" t="s">
        <v>126</v>
      </c>
      <c r="B5" s="24" t="s">
        <v>124</v>
      </c>
      <c r="C5" s="24" t="s">
        <v>127</v>
      </c>
      <c r="D5" s="24">
        <v>63160</v>
      </c>
      <c r="F5" s="24">
        <v>1108361601</v>
      </c>
      <c r="G5" s="1">
        <f t="shared" si="0"/>
        <v>63160</v>
      </c>
    </row>
    <row r="6" spans="1:11" x14ac:dyDescent="0.3">
      <c r="A6" s="24">
        <v>1108392498</v>
      </c>
      <c r="B6" s="24" t="s">
        <v>124</v>
      </c>
      <c r="C6" s="24" t="s">
        <v>127</v>
      </c>
      <c r="D6" s="24">
        <v>77668</v>
      </c>
      <c r="F6" s="24">
        <v>1108392498</v>
      </c>
      <c r="G6" s="1">
        <f t="shared" si="0"/>
        <v>77668</v>
      </c>
    </row>
    <row r="7" spans="1:11" x14ac:dyDescent="0.3">
      <c r="A7" s="24" t="s">
        <v>128</v>
      </c>
      <c r="B7" s="24" t="s">
        <v>129</v>
      </c>
      <c r="C7" s="24" t="s">
        <v>130</v>
      </c>
      <c r="D7" s="24">
        <v>40153</v>
      </c>
      <c r="F7" s="24">
        <v>1108227601</v>
      </c>
      <c r="G7" s="1">
        <f t="shared" si="0"/>
        <v>40153</v>
      </c>
    </row>
    <row r="8" spans="1:11" x14ac:dyDescent="0.3">
      <c r="A8" s="24" t="s">
        <v>191</v>
      </c>
      <c r="B8" s="24" t="s">
        <v>129</v>
      </c>
      <c r="C8" s="24" t="s">
        <v>130</v>
      </c>
      <c r="D8" s="24">
        <v>5556</v>
      </c>
      <c r="F8" s="24">
        <v>1108465261</v>
      </c>
      <c r="G8" s="1">
        <f t="shared" si="0"/>
        <v>5556</v>
      </c>
    </row>
    <row r="9" spans="1:11" x14ac:dyDescent="0.3">
      <c r="A9" s="24" t="s">
        <v>131</v>
      </c>
      <c r="B9" s="24" t="s">
        <v>129</v>
      </c>
      <c r="C9" s="24" t="s">
        <v>132</v>
      </c>
      <c r="D9" s="24">
        <v>50813</v>
      </c>
      <c r="F9" s="24">
        <v>1107389435</v>
      </c>
      <c r="G9" s="1">
        <f t="shared" si="0"/>
        <v>50813</v>
      </c>
      <c r="K9">
        <f>IF(ISNUMBER(FIND(F2,A2)),D2,"")</f>
        <v>34712</v>
      </c>
    </row>
    <row r="10" spans="1:11" x14ac:dyDescent="0.3">
      <c r="A10" s="24" t="s">
        <v>133</v>
      </c>
      <c r="B10" s="24" t="s">
        <v>129</v>
      </c>
      <c r="C10" s="24" t="s">
        <v>132</v>
      </c>
      <c r="D10" s="24">
        <v>75664</v>
      </c>
      <c r="F10" s="24">
        <v>1108403665</v>
      </c>
      <c r="G10" s="1">
        <f t="shared" si="0"/>
        <v>75664</v>
      </c>
    </row>
    <row r="11" spans="1:11" x14ac:dyDescent="0.3">
      <c r="A11" s="24" t="s">
        <v>134</v>
      </c>
      <c r="B11" s="24" t="s">
        <v>135</v>
      </c>
      <c r="C11" s="24" t="s">
        <v>136</v>
      </c>
      <c r="D11" s="24">
        <v>74616</v>
      </c>
      <c r="F11" s="24">
        <v>1107401031</v>
      </c>
      <c r="G11" s="1">
        <f t="shared" si="0"/>
        <v>74616</v>
      </c>
    </row>
    <row r="12" spans="1:11" x14ac:dyDescent="0.3">
      <c r="A12" s="24">
        <v>1107189451</v>
      </c>
      <c r="B12" s="24" t="s">
        <v>137</v>
      </c>
      <c r="C12" s="24" t="s">
        <v>138</v>
      </c>
      <c r="D12" s="24">
        <v>73240</v>
      </c>
      <c r="F12" s="24">
        <v>1107189451</v>
      </c>
      <c r="G12" s="1">
        <f t="shared" si="0"/>
        <v>73240</v>
      </c>
      <c r="K12">
        <f>IF(ISNUMBER(FIND(F3,A3)),G3,"")</f>
        <v>27518</v>
      </c>
    </row>
    <row r="13" spans="1:11" x14ac:dyDescent="0.3">
      <c r="A13" s="24" t="s">
        <v>139</v>
      </c>
      <c r="B13" s="24" t="s">
        <v>137</v>
      </c>
      <c r="C13" s="24" t="s">
        <v>140</v>
      </c>
      <c r="D13" s="24">
        <v>74455</v>
      </c>
      <c r="F13" s="24" t="s">
        <v>139</v>
      </c>
      <c r="G13" s="1">
        <f t="shared" si="0"/>
        <v>74455</v>
      </c>
      <c r="K13">
        <f t="shared" ref="K13:K15" si="1">IF(ISNUMBER(FIND(F4,A4)),G4,"")</f>
        <v>52346</v>
      </c>
    </row>
    <row r="14" spans="1:11" x14ac:dyDescent="0.3">
      <c r="A14" s="24" t="s">
        <v>141</v>
      </c>
      <c r="B14" s="24" t="s">
        <v>137</v>
      </c>
      <c r="C14" s="24" t="s">
        <v>140</v>
      </c>
      <c r="D14" s="24">
        <v>78368</v>
      </c>
      <c r="F14" s="24">
        <v>1108113875</v>
      </c>
      <c r="G14" s="1">
        <f t="shared" si="0"/>
        <v>78368</v>
      </c>
      <c r="K14">
        <f t="shared" si="1"/>
        <v>63160</v>
      </c>
    </row>
    <row r="15" spans="1:11" x14ac:dyDescent="0.3">
      <c r="A15" s="24" t="s">
        <v>142</v>
      </c>
      <c r="B15" s="24" t="s">
        <v>143</v>
      </c>
      <c r="C15" s="24" t="s">
        <v>17</v>
      </c>
      <c r="D15" s="24">
        <v>3243</v>
      </c>
      <c r="F15" s="24">
        <v>1107304396</v>
      </c>
      <c r="G15" s="1">
        <f t="shared" si="0"/>
        <v>3243</v>
      </c>
      <c r="K15">
        <f t="shared" si="1"/>
        <v>77668</v>
      </c>
    </row>
    <row r="16" spans="1:11" x14ac:dyDescent="0.3">
      <c r="A16" s="24" t="s">
        <v>144</v>
      </c>
      <c r="B16" s="24" t="s">
        <v>143</v>
      </c>
      <c r="C16" s="24" t="s">
        <v>127</v>
      </c>
      <c r="D16" s="24">
        <v>49233</v>
      </c>
      <c r="F16" s="24">
        <v>1107400975</v>
      </c>
      <c r="G16" s="1">
        <f t="shared" si="0"/>
        <v>49233</v>
      </c>
    </row>
    <row r="17" spans="1:7" x14ac:dyDescent="0.3">
      <c r="A17" s="24" t="s">
        <v>145</v>
      </c>
      <c r="B17" s="24" t="s">
        <v>143</v>
      </c>
      <c r="C17" s="24" t="s">
        <v>140</v>
      </c>
      <c r="D17" s="24">
        <v>18676</v>
      </c>
      <c r="F17" s="24">
        <v>1108039685</v>
      </c>
      <c r="G17" s="1">
        <f t="shared" si="0"/>
        <v>18676</v>
      </c>
    </row>
    <row r="18" spans="1:7" x14ac:dyDescent="0.3">
      <c r="A18" s="24" t="s">
        <v>146</v>
      </c>
      <c r="B18" s="24" t="s">
        <v>143</v>
      </c>
      <c r="C18" s="24" t="s">
        <v>140</v>
      </c>
      <c r="D18" s="24">
        <v>83766</v>
      </c>
      <c r="F18" s="24">
        <v>1107368290</v>
      </c>
      <c r="G18" s="1">
        <f t="shared" si="0"/>
        <v>83766</v>
      </c>
    </row>
    <row r="19" spans="1:7" x14ac:dyDescent="0.3">
      <c r="A19" s="24" t="s">
        <v>147</v>
      </c>
      <c r="B19" s="24" t="s">
        <v>148</v>
      </c>
      <c r="C19" s="24" t="s">
        <v>149</v>
      </c>
      <c r="D19" s="24">
        <v>95792</v>
      </c>
      <c r="F19" s="24">
        <v>1108289348</v>
      </c>
      <c r="G19" s="1">
        <f t="shared" si="0"/>
        <v>95792</v>
      </c>
    </row>
    <row r="20" spans="1:7" x14ac:dyDescent="0.3">
      <c r="A20" s="24" t="s">
        <v>150</v>
      </c>
      <c r="B20" s="24" t="s">
        <v>148</v>
      </c>
      <c r="C20" s="24" t="s">
        <v>149</v>
      </c>
      <c r="D20" s="24">
        <v>50610</v>
      </c>
      <c r="F20" s="24">
        <v>1107304368</v>
      </c>
      <c r="G20" s="1">
        <f t="shared" si="0"/>
        <v>50610</v>
      </c>
    </row>
    <row r="21" spans="1:7" x14ac:dyDescent="0.3">
      <c r="A21" s="24">
        <v>1107200013</v>
      </c>
      <c r="B21" s="24" t="s">
        <v>148</v>
      </c>
      <c r="C21" s="24" t="s">
        <v>149</v>
      </c>
      <c r="D21" s="24">
        <v>48591</v>
      </c>
      <c r="F21" s="24">
        <v>1107200013</v>
      </c>
      <c r="G21" s="1">
        <f t="shared" si="0"/>
        <v>48591</v>
      </c>
    </row>
    <row r="22" spans="1:7" x14ac:dyDescent="0.3">
      <c r="A22" s="24">
        <v>1109040717</v>
      </c>
      <c r="B22" s="24" t="s">
        <v>151</v>
      </c>
      <c r="C22" s="24" t="s">
        <v>152</v>
      </c>
      <c r="D22" s="24">
        <v>37194</v>
      </c>
      <c r="F22" s="24">
        <v>1109040717</v>
      </c>
      <c r="G22" s="1">
        <f t="shared" si="0"/>
        <v>37194</v>
      </c>
    </row>
    <row r="23" spans="1:7" x14ac:dyDescent="0.3">
      <c r="A23" s="24">
        <v>1109040697</v>
      </c>
      <c r="B23" s="24" t="s">
        <v>151</v>
      </c>
      <c r="C23" s="24" t="s">
        <v>140</v>
      </c>
      <c r="D23" s="24">
        <v>23701</v>
      </c>
      <c r="F23" s="24">
        <v>1109040697</v>
      </c>
      <c r="G23" s="1">
        <f t="shared" si="0"/>
        <v>23701</v>
      </c>
    </row>
    <row r="24" spans="1:7" x14ac:dyDescent="0.3">
      <c r="A24" s="24">
        <v>1109040657</v>
      </c>
      <c r="B24" s="24" t="s">
        <v>151</v>
      </c>
      <c r="C24" s="24" t="s">
        <v>140</v>
      </c>
      <c r="D24" s="24">
        <v>59811</v>
      </c>
      <c r="F24" s="24">
        <v>1109040657</v>
      </c>
      <c r="G24" s="1">
        <f t="shared" si="0"/>
        <v>59811</v>
      </c>
    </row>
    <row r="25" spans="1:7" x14ac:dyDescent="0.3">
      <c r="A25" s="24" t="s">
        <v>153</v>
      </c>
      <c r="B25" s="24" t="s">
        <v>154</v>
      </c>
      <c r="C25" s="24" t="s">
        <v>155</v>
      </c>
      <c r="D25" s="24">
        <v>42313</v>
      </c>
      <c r="F25" s="24">
        <v>1106489994</v>
      </c>
      <c r="G25" s="1">
        <f t="shared" si="0"/>
        <v>42313</v>
      </c>
    </row>
    <row r="26" spans="1:7" x14ac:dyDescent="0.3">
      <c r="A26" s="24">
        <v>106384603</v>
      </c>
      <c r="B26" s="24" t="s">
        <v>154</v>
      </c>
      <c r="C26" s="24" t="s">
        <v>156</v>
      </c>
      <c r="D26" s="24">
        <v>76378</v>
      </c>
      <c r="F26" s="24">
        <v>106384603</v>
      </c>
      <c r="G26" s="1">
        <f t="shared" si="0"/>
        <v>76378</v>
      </c>
    </row>
    <row r="27" spans="1:7" x14ac:dyDescent="0.3">
      <c r="A27" s="24" t="s">
        <v>157</v>
      </c>
      <c r="B27" s="24" t="s">
        <v>154</v>
      </c>
      <c r="C27" s="24" t="s">
        <v>156</v>
      </c>
      <c r="D27" s="24">
        <v>18935</v>
      </c>
      <c r="F27" s="24">
        <v>1108113940</v>
      </c>
      <c r="G27" s="1">
        <f t="shared" si="0"/>
        <v>18935</v>
      </c>
    </row>
    <row r="28" spans="1:7" x14ac:dyDescent="0.3">
      <c r="A28" s="24" t="s">
        <v>158</v>
      </c>
      <c r="B28" s="24" t="s">
        <v>154</v>
      </c>
      <c r="C28" s="24" t="s">
        <v>17</v>
      </c>
      <c r="D28" s="24">
        <v>87025</v>
      </c>
      <c r="F28" s="24">
        <v>1106489974</v>
      </c>
      <c r="G28" s="1">
        <f t="shared" si="0"/>
        <v>87025</v>
      </c>
    </row>
    <row r="29" spans="1:7" x14ac:dyDescent="0.3">
      <c r="A29" s="24" t="s">
        <v>159</v>
      </c>
      <c r="B29" s="24" t="s">
        <v>160</v>
      </c>
      <c r="C29" s="24" t="s">
        <v>160</v>
      </c>
      <c r="D29" s="24">
        <v>39295</v>
      </c>
      <c r="F29" s="24" t="s">
        <v>161</v>
      </c>
      <c r="G29" s="1">
        <f t="shared" si="0"/>
        <v>39295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J11"/>
  <sheetViews>
    <sheetView showGridLines="0" workbookViewId="0">
      <selection activeCell="I20" sqref="I20"/>
    </sheetView>
  </sheetViews>
  <sheetFormatPr defaultRowHeight="14.4" x14ac:dyDescent="0.3"/>
  <cols>
    <col min="1" max="1" width="21.44140625" bestFit="1" customWidth="1"/>
    <col min="2" max="2" width="37.6640625" customWidth="1"/>
    <col min="5" max="5" width="26.109375" bestFit="1" customWidth="1"/>
    <col min="8" max="8" width="11.109375" customWidth="1"/>
  </cols>
  <sheetData>
    <row r="1" spans="1:10" x14ac:dyDescent="0.3">
      <c r="A1" s="27" t="s">
        <v>20</v>
      </c>
      <c r="B1" s="27" t="s">
        <v>5</v>
      </c>
      <c r="J1" s="22" t="s">
        <v>65</v>
      </c>
    </row>
    <row r="2" spans="1:10" x14ac:dyDescent="0.3">
      <c r="A2" s="1" t="s">
        <v>169</v>
      </c>
      <c r="B2" s="1"/>
      <c r="E2" s="9" t="s">
        <v>179</v>
      </c>
      <c r="F2" s="9" t="s">
        <v>180</v>
      </c>
      <c r="G2" s="2"/>
      <c r="H2" s="2"/>
    </row>
    <row r="3" spans="1:10" x14ac:dyDescent="0.3">
      <c r="A3" s="1" t="s">
        <v>175</v>
      </c>
      <c r="B3" s="1"/>
    </row>
    <row r="4" spans="1:10" x14ac:dyDescent="0.3">
      <c r="A4" s="1" t="s">
        <v>170</v>
      </c>
      <c r="B4" s="1"/>
    </row>
    <row r="5" spans="1:10" x14ac:dyDescent="0.3">
      <c r="A5" s="1" t="s">
        <v>171</v>
      </c>
      <c r="B5" s="1"/>
    </row>
    <row r="6" spans="1:10" x14ac:dyDescent="0.3">
      <c r="A6" s="1" t="s">
        <v>176</v>
      </c>
      <c r="B6" s="1"/>
    </row>
    <row r="7" spans="1:10" x14ac:dyDescent="0.3">
      <c r="A7" s="1" t="s">
        <v>178</v>
      </c>
      <c r="B7" s="1"/>
    </row>
    <row r="8" spans="1:10" x14ac:dyDescent="0.3">
      <c r="A8" s="1" t="s">
        <v>172</v>
      </c>
      <c r="B8" s="1"/>
    </row>
    <row r="9" spans="1:10" x14ac:dyDescent="0.3">
      <c r="A9" s="1" t="s">
        <v>173</v>
      </c>
      <c r="B9" s="1"/>
    </row>
    <row r="10" spans="1:10" x14ac:dyDescent="0.3">
      <c r="A10" s="1" t="s">
        <v>177</v>
      </c>
      <c r="B10" s="1"/>
    </row>
    <row r="11" spans="1:10" x14ac:dyDescent="0.3">
      <c r="A11" s="1" t="s">
        <v>174</v>
      </c>
      <c r="B11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12"/>
  <sheetViews>
    <sheetView showGridLines="0" tabSelected="1" topLeftCell="B1" zoomScale="47" zoomScaleNormal="140" workbookViewId="0">
      <selection activeCell="D2" sqref="D2"/>
    </sheetView>
  </sheetViews>
  <sheetFormatPr defaultRowHeight="14.4" x14ac:dyDescent="0.3"/>
  <cols>
    <col min="1" max="1" width="23.109375" bestFit="1" customWidth="1"/>
    <col min="3" max="3" width="10.5546875" bestFit="1" customWidth="1"/>
    <col min="4" max="4" width="10.109375" bestFit="1" customWidth="1"/>
    <col min="5" max="5" width="13" customWidth="1"/>
  </cols>
  <sheetData>
    <row r="1" spans="1:10" x14ac:dyDescent="0.3">
      <c r="A1" s="27" t="s">
        <v>20</v>
      </c>
      <c r="C1" s="27" t="s">
        <v>182</v>
      </c>
      <c r="D1" s="27" t="s">
        <v>183</v>
      </c>
      <c r="E1" s="27" t="s">
        <v>184</v>
      </c>
      <c r="H1" s="3" t="s">
        <v>190</v>
      </c>
    </row>
    <row r="2" spans="1:10" x14ac:dyDescent="0.3">
      <c r="A2" s="1" t="s">
        <v>181</v>
      </c>
      <c r="C2" s="1" t="str">
        <f>LEFT(A2,FIND(" ",A2)-1)</f>
        <v>Ram</v>
      </c>
      <c r="D2" s="1" t="str">
        <f>IF(LEN(A2)-LEN(SUBSTITUTE(A2," ",""))=1,"",MID(A2,FIND(" ",A2)+1,FIND(" ",A2,FIND(" ",A2)+1-FIND(" ",A2))))</f>
        <v>Sing</v>
      </c>
      <c r="E2" s="1"/>
    </row>
    <row r="3" spans="1:10" x14ac:dyDescent="0.3">
      <c r="A3" s="1" t="s">
        <v>185</v>
      </c>
      <c r="C3" s="1" t="str">
        <f t="shared" ref="C3:C5" si="0">LEFT(A3,FIND(" ",A3)-1)</f>
        <v>Mahesh</v>
      </c>
      <c r="D3" s="1" t="str">
        <f t="shared" ref="D3:D5" si="1">IF(LEN(A3)-LEN(SUBSTITUTE(A3," ",""))=1,"",MID(A3,FIND(" ",A3)+1,FIND(" ",A3,FIND(" ",A3)+1-FIND(" ",A3))))</f>
        <v/>
      </c>
      <c r="E3" s="1"/>
    </row>
    <row r="4" spans="1:10" x14ac:dyDescent="0.3">
      <c r="A4" s="1" t="s">
        <v>186</v>
      </c>
      <c r="C4" s="1" t="str">
        <f t="shared" si="0"/>
        <v>Alok</v>
      </c>
      <c r="D4" s="1" t="str">
        <f t="shared" si="1"/>
        <v/>
      </c>
      <c r="E4" s="1"/>
    </row>
    <row r="5" spans="1:10" x14ac:dyDescent="0.3">
      <c r="A5" s="1" t="s">
        <v>187</v>
      </c>
      <c r="C5" s="1" t="str">
        <f t="shared" si="0"/>
        <v>Amitabh</v>
      </c>
      <c r="D5" s="1" t="str">
        <f t="shared" si="1"/>
        <v>Kr Bhatt</v>
      </c>
      <c r="E5" s="1"/>
    </row>
    <row r="7" spans="1:10" x14ac:dyDescent="0.3">
      <c r="A7" t="s">
        <v>207</v>
      </c>
    </row>
    <row r="9" spans="1:10" x14ac:dyDescent="0.3">
      <c r="C9" s="3" t="s">
        <v>188</v>
      </c>
    </row>
    <row r="10" spans="1:10" x14ac:dyDescent="0.3">
      <c r="C10" s="3" t="s">
        <v>189</v>
      </c>
    </row>
    <row r="12" spans="1:10" x14ac:dyDescent="0.3">
      <c r="J12">
        <f>G7-G6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Q11</vt:lpstr>
      <vt:lpstr>Q12</vt:lpstr>
      <vt:lpstr>Q13</vt:lpstr>
      <vt:lpstr>Q14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Anoop</dc:creator>
  <cp:lastModifiedBy>radhika rawat</cp:lastModifiedBy>
  <dcterms:created xsi:type="dcterms:W3CDTF">2017-09-10T11:48:31Z</dcterms:created>
  <dcterms:modified xsi:type="dcterms:W3CDTF">2025-12-01T12:19:03Z</dcterms:modified>
</cp:coreProperties>
</file>