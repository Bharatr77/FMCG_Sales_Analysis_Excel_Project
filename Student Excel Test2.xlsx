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bfc225232e13304/Desktop/SLA/Solved Excel Assignment/"/>
    </mc:Choice>
  </mc:AlternateContent>
  <xr:revisionPtr revIDLastSave="21" documentId="11_A492940E7035EBBCF86ED9C9A15C1A6E22C9C719" xr6:coauthVersionLast="47" xr6:coauthVersionMax="47" xr10:uidLastSave="{0E1CFBB5-FC33-4F4D-9B52-0352083D8C45}"/>
  <bookViews>
    <workbookView xWindow="-108" yWindow="-108" windowWidth="23256" windowHeight="12456" activeTab="9" xr2:uid="{00000000-000D-0000-FFFF-FFFF00000000}"/>
  </bookViews>
  <sheets>
    <sheet name="General Instructions" sheetId="4" r:id="rId1"/>
    <sheet name="Q1" sheetId="5" r:id="rId2"/>
    <sheet name="Q2" sheetId="6" r:id="rId3"/>
    <sheet name="Q3" sheetId="7" r:id="rId4"/>
    <sheet name="Q5" sheetId="9" r:id="rId5"/>
    <sheet name="Q6" sheetId="10" r:id="rId6"/>
    <sheet name="Q7" sheetId="11" r:id="rId7"/>
    <sheet name="Q8" sheetId="12" r:id="rId8"/>
    <sheet name="Q9" sheetId="13" r:id="rId9"/>
    <sheet name="Q10" sheetId="14" r:id="rId10"/>
  </sheets>
  <externalReferences>
    <externalReference r:id="rId11"/>
  </externalReferences>
  <definedNames>
    <definedName name="_xlnm._FilterDatabase" localSheetId="9" hidden="1">'Q10'!$B$6:$D$56</definedName>
    <definedName name="_xlnm._FilterDatabase" localSheetId="5" hidden="1">'Q6'!$K$2:$N$343</definedName>
    <definedName name="_Regression_Int" localSheetId="7" hidden="1">1</definedName>
    <definedName name="Amount" localSheetId="0">#REF!</definedName>
    <definedName name="Amount" localSheetId="7">#REF!</definedName>
    <definedName name="Amount">#REF!</definedName>
    <definedName name="DEmName">OFFSET('[1]chart data'!$B$6,0,0,COUNTA('[1]chart data'!$B$1:$B$65536)-1,1)</definedName>
    <definedName name="Difference" localSheetId="7">#REF!</definedName>
    <definedName name="Difference">#REF!</definedName>
    <definedName name="dProj">OFFSET('[1]chart data'!$C$6,0,0,COUNTA('[1]chart data'!$C$1:$C$65536)-1,1)</definedName>
    <definedName name="DyActSales">OFFSET('[1]chart data'!$D$6,0,0,COUNTA('[1]chart data'!$D$1:$D$65536)-1)</definedName>
    <definedName name="DyName">OFFSET('[1]chart data'!$B$6,0,0,COUNTA('[1]chart data'!$B$1:$B$65536)-1)</definedName>
    <definedName name="DyProjSales">OFFSET('[1]chart data'!$C$6,0,0,COUNTA('[1]chart data'!$C$1:$C$65536)-1)</definedName>
    <definedName name="EmDetail">OFFSET('[1]chart data'!$B$5,'[1]chart data'!$F$6,1,1,2)</definedName>
    <definedName name="EmployeeData">OFFSET('[1]chart data'!$B$5,'[1]chart data'!$J$4,1,1,2)</definedName>
    <definedName name="EmployeeId">OFFSET('[1]chart data'!$B$5,'[1]chart data'!$J$4,0,1,1)</definedName>
    <definedName name="Grades" localSheetId="7">#REF!</definedName>
    <definedName name="Grades">#REF!</definedName>
    <definedName name="lookup" localSheetId="7">VLOOKUP(#REF!,#REF!,COLUMNS(#REF!),0)</definedName>
    <definedName name="lookup">VLOOKUP(#REF!,#REF!,COLUMNS(#REF!),0)</definedName>
    <definedName name="MyName">SUM('[1]chart data'!XEY1048555,'[1]chart data'!XEY1048556)</definedName>
    <definedName name="MyRange">OFFSET('[1]subtotals,pivot table'!$A$2,0,0,COUNTA('[1]subtotals,pivot table'!$A$1:$A$65536),COUNTA('[1]subtotals,pivot table'!$A$2:$IV$2))</definedName>
    <definedName name="Overtime" localSheetId="7">#REF!</definedName>
    <definedName name="Overtime">#REF!</definedName>
    <definedName name="Profit_per_sale" localSheetId="7">#REF!</definedName>
    <definedName name="Profit_per_sale">#REF!</definedName>
    <definedName name="Scroll">OFFSET('[1]chart data'!$C$6,'[1]chart data'!$F$5,0,5,1)</definedName>
    <definedName name="Scroll2">OFFSET('[1]chart data'!$D$6,0,0,'[1]chart data'!$F$5,1)</definedName>
    <definedName name="Scroll3">OFFSET('[1]chart data'!$C$6,'[1]chart data'!$F$5,0,7,1)</definedName>
    <definedName name="Scroll4">OFFSET('[1]chart data'!$B$6,'[1]chart data'!$F$5,0,7,1)</definedName>
    <definedName name="StartDay" localSheetId="7">#REF!</definedName>
    <definedName name="StartDay">#REF!</definedName>
    <definedName name="Student">OFFSET('[1]chart data'!$B$5,'[1]chart data'!$F$6,0,1,1)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4" l="1"/>
  <c r="I7" i="14" s="1"/>
  <c r="B10" i="10"/>
  <c r="B18" i="10"/>
  <c r="C14" i="10"/>
  <c r="B14" i="10"/>
  <c r="B8" i="10"/>
  <c r="J7" i="12"/>
  <c r="J8" i="12"/>
  <c r="J9" i="12"/>
  <c r="J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6" i="12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15" i="7"/>
  <c r="D12" i="6"/>
  <c r="D13" i="6"/>
  <c r="D11" i="6"/>
  <c r="F31" i="5"/>
  <c r="E25" i="5"/>
  <c r="G25" i="5" s="1"/>
  <c r="E26" i="5"/>
  <c r="G26" i="5" s="1"/>
  <c r="E27" i="5"/>
  <c r="G27" i="5" s="1"/>
  <c r="E28" i="5"/>
  <c r="G28" i="5" s="1"/>
  <c r="E29" i="5"/>
  <c r="G29" i="5" s="1"/>
  <c r="E30" i="5"/>
  <c r="G30" i="5" s="1"/>
  <c r="E24" i="5"/>
  <c r="G24" i="5" s="1"/>
  <c r="G31" i="5" s="1"/>
  <c r="C31" i="5"/>
  <c r="D26" i="5" s="1"/>
  <c r="I11" i="14"/>
  <c r="I15" i="14"/>
  <c r="I19" i="14"/>
  <c r="I23" i="14"/>
  <c r="I27" i="14"/>
  <c r="I31" i="14"/>
  <c r="I35" i="14"/>
  <c r="I39" i="14"/>
  <c r="I43" i="14"/>
  <c r="I47" i="14"/>
  <c r="I51" i="14"/>
  <c r="I55" i="14"/>
  <c r="H8" i="14"/>
  <c r="I8" i="14" s="1"/>
  <c r="H9" i="14"/>
  <c r="I9" i="14" s="1"/>
  <c r="H10" i="14"/>
  <c r="I10" i="14" s="1"/>
  <c r="H11" i="14"/>
  <c r="H12" i="14"/>
  <c r="I12" i="14" s="1"/>
  <c r="H13" i="14"/>
  <c r="I13" i="14" s="1"/>
  <c r="H14" i="14"/>
  <c r="I14" i="14" s="1"/>
  <c r="H15" i="14"/>
  <c r="H16" i="14"/>
  <c r="I16" i="14" s="1"/>
  <c r="H17" i="14"/>
  <c r="I17" i="14" s="1"/>
  <c r="H18" i="14"/>
  <c r="I18" i="14" s="1"/>
  <c r="H19" i="14"/>
  <c r="H20" i="14"/>
  <c r="I20" i="14" s="1"/>
  <c r="H21" i="14"/>
  <c r="I21" i="14" s="1"/>
  <c r="H22" i="14"/>
  <c r="I22" i="14" s="1"/>
  <c r="H23" i="14"/>
  <c r="H24" i="14"/>
  <c r="I24" i="14" s="1"/>
  <c r="H25" i="14"/>
  <c r="I25" i="14" s="1"/>
  <c r="H26" i="14"/>
  <c r="I26" i="14" s="1"/>
  <c r="H27" i="14"/>
  <c r="H28" i="14"/>
  <c r="I28" i="14" s="1"/>
  <c r="H29" i="14"/>
  <c r="I29" i="14" s="1"/>
  <c r="H30" i="14"/>
  <c r="I30" i="14" s="1"/>
  <c r="H31" i="14"/>
  <c r="H32" i="14"/>
  <c r="I32" i="14" s="1"/>
  <c r="H33" i="14"/>
  <c r="I33" i="14" s="1"/>
  <c r="H34" i="14"/>
  <c r="I34" i="14" s="1"/>
  <c r="H35" i="14"/>
  <c r="H36" i="14"/>
  <c r="I36" i="14" s="1"/>
  <c r="H37" i="14"/>
  <c r="I37" i="14" s="1"/>
  <c r="H38" i="14"/>
  <c r="I38" i="14" s="1"/>
  <c r="H39" i="14"/>
  <c r="H40" i="14"/>
  <c r="I40" i="14" s="1"/>
  <c r="H41" i="14"/>
  <c r="I41" i="14" s="1"/>
  <c r="H42" i="14"/>
  <c r="I42" i="14" s="1"/>
  <c r="H43" i="14"/>
  <c r="H44" i="14"/>
  <c r="I44" i="14" s="1"/>
  <c r="H45" i="14"/>
  <c r="I45" i="14" s="1"/>
  <c r="H46" i="14"/>
  <c r="I46" i="14" s="1"/>
  <c r="H47" i="14"/>
  <c r="H48" i="14"/>
  <c r="I48" i="14" s="1"/>
  <c r="H49" i="14"/>
  <c r="I49" i="14" s="1"/>
  <c r="H50" i="14"/>
  <c r="I50" i="14" s="1"/>
  <c r="H51" i="14"/>
  <c r="H52" i="14"/>
  <c r="I52" i="14" s="1"/>
  <c r="H53" i="14"/>
  <c r="I53" i="14" s="1"/>
  <c r="H54" i="14"/>
  <c r="I54" i="14" s="1"/>
  <c r="H55" i="14"/>
  <c r="H56" i="14"/>
  <c r="I56" i="14" s="1"/>
  <c r="E12" i="9"/>
  <c r="D29" i="5" l="1"/>
  <c r="D25" i="5"/>
  <c r="D24" i="5"/>
  <c r="D27" i="5"/>
  <c r="D28" i="5"/>
  <c r="E31" i="5"/>
  <c r="D30" i="5"/>
  <c r="I14" i="6"/>
  <c r="J11" i="6"/>
  <c r="D31" i="5" l="1"/>
  <c r="J12" i="6"/>
  <c r="J14" i="6" s="1"/>
  <c r="J13" i="6"/>
  <c r="F13" i="12" l="1"/>
  <c r="B18" i="11" l="1"/>
  <c r="B17" i="11"/>
  <c r="B16" i="11"/>
  <c r="B15" i="11"/>
  <c r="B14" i="11"/>
  <c r="B13" i="11"/>
  <c r="B12" i="11"/>
  <c r="B11" i="11"/>
  <c r="B10" i="11"/>
  <c r="B9" i="11"/>
  <c r="B8" i="11"/>
  <c r="B7" i="11"/>
  <c r="B6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E15" i="11" l="1"/>
  <c r="I15" i="11"/>
  <c r="M15" i="11"/>
  <c r="F15" i="11"/>
  <c r="J15" i="11"/>
  <c r="N15" i="11"/>
  <c r="G15" i="11"/>
  <c r="K15" i="11"/>
  <c r="O15" i="11"/>
  <c r="D15" i="11"/>
  <c r="H15" i="11"/>
  <c r="L15" i="11"/>
  <c r="C15" i="11"/>
  <c r="E8" i="11"/>
  <c r="I8" i="11"/>
  <c r="M8" i="11"/>
  <c r="C8" i="11"/>
  <c r="F8" i="11"/>
  <c r="J8" i="11"/>
  <c r="N8" i="11"/>
  <c r="G8" i="11"/>
  <c r="K8" i="11"/>
  <c r="O8" i="11"/>
  <c r="D8" i="11"/>
  <c r="H8" i="11"/>
  <c r="L8" i="11"/>
  <c r="E12" i="11"/>
  <c r="I12" i="11"/>
  <c r="M12" i="11"/>
  <c r="C12" i="11"/>
  <c r="F12" i="11"/>
  <c r="J12" i="11"/>
  <c r="N12" i="11"/>
  <c r="G12" i="11"/>
  <c r="K12" i="11"/>
  <c r="O12" i="11"/>
  <c r="D12" i="11"/>
  <c r="H12" i="11"/>
  <c r="L12" i="11"/>
  <c r="E16" i="11"/>
  <c r="I16" i="11"/>
  <c r="M16" i="11"/>
  <c r="C16" i="11"/>
  <c r="F16" i="11"/>
  <c r="J16" i="11"/>
  <c r="N16" i="11"/>
  <c r="G16" i="11"/>
  <c r="K16" i="11"/>
  <c r="O16" i="11"/>
  <c r="D16" i="11"/>
  <c r="H16" i="11"/>
  <c r="L16" i="11"/>
  <c r="E7" i="11"/>
  <c r="I7" i="11"/>
  <c r="M7" i="11"/>
  <c r="F7" i="11"/>
  <c r="J7" i="11"/>
  <c r="N7" i="11"/>
  <c r="G7" i="11"/>
  <c r="K7" i="11"/>
  <c r="O7" i="11"/>
  <c r="D7" i="11"/>
  <c r="H7" i="11"/>
  <c r="L7" i="11"/>
  <c r="C7" i="11"/>
  <c r="E9" i="11"/>
  <c r="I9" i="11"/>
  <c r="M9" i="11"/>
  <c r="F9" i="11"/>
  <c r="J9" i="11"/>
  <c r="N9" i="11"/>
  <c r="C9" i="11"/>
  <c r="G9" i="11"/>
  <c r="K9" i="11"/>
  <c r="O9" i="11"/>
  <c r="D9" i="11"/>
  <c r="H9" i="11"/>
  <c r="L9" i="11"/>
  <c r="E13" i="11"/>
  <c r="I13" i="11"/>
  <c r="M13" i="11"/>
  <c r="F13" i="11"/>
  <c r="J13" i="11"/>
  <c r="N13" i="11"/>
  <c r="C13" i="11"/>
  <c r="G13" i="11"/>
  <c r="K13" i="11"/>
  <c r="O13" i="11"/>
  <c r="D13" i="11"/>
  <c r="H13" i="11"/>
  <c r="L13" i="11"/>
  <c r="E17" i="11"/>
  <c r="I17" i="11"/>
  <c r="M17" i="11"/>
  <c r="F17" i="11"/>
  <c r="J17" i="11"/>
  <c r="N17" i="11"/>
  <c r="C17" i="11"/>
  <c r="G17" i="11"/>
  <c r="K17" i="11"/>
  <c r="O17" i="11"/>
  <c r="D17" i="11"/>
  <c r="H17" i="11"/>
  <c r="L17" i="11"/>
  <c r="E11" i="11"/>
  <c r="I11" i="11"/>
  <c r="M11" i="11"/>
  <c r="F11" i="11"/>
  <c r="J11" i="11"/>
  <c r="N11" i="11"/>
  <c r="G11" i="11"/>
  <c r="K11" i="11"/>
  <c r="O11" i="11"/>
  <c r="D11" i="11"/>
  <c r="H11" i="11"/>
  <c r="L11" i="11"/>
  <c r="C11" i="11"/>
  <c r="E6" i="11"/>
  <c r="I6" i="11"/>
  <c r="M6" i="11"/>
  <c r="F6" i="11"/>
  <c r="J6" i="11"/>
  <c r="N6" i="11"/>
  <c r="G6" i="11"/>
  <c r="K6" i="11"/>
  <c r="O6" i="11"/>
  <c r="D6" i="11"/>
  <c r="H6" i="11"/>
  <c r="L6" i="11"/>
  <c r="C6" i="11"/>
  <c r="E10" i="11"/>
  <c r="I10" i="11"/>
  <c r="M10" i="11"/>
  <c r="F10" i="11"/>
  <c r="J10" i="11"/>
  <c r="N10" i="11"/>
  <c r="G10" i="11"/>
  <c r="K10" i="11"/>
  <c r="O10" i="11"/>
  <c r="C10" i="11"/>
  <c r="D10" i="11"/>
  <c r="H10" i="11"/>
  <c r="L10" i="11"/>
  <c r="E14" i="11"/>
  <c r="I14" i="11"/>
  <c r="M14" i="11"/>
  <c r="F14" i="11"/>
  <c r="J14" i="11"/>
  <c r="N14" i="11"/>
  <c r="G14" i="11"/>
  <c r="K14" i="11"/>
  <c r="O14" i="11"/>
  <c r="C14" i="11"/>
  <c r="D14" i="11"/>
  <c r="H14" i="11"/>
  <c r="L14" i="11"/>
  <c r="E18" i="11"/>
  <c r="I18" i="11"/>
  <c r="M18" i="11"/>
  <c r="F18" i="11"/>
  <c r="J18" i="11"/>
  <c r="N18" i="11"/>
  <c r="G18" i="11"/>
  <c r="K18" i="11"/>
  <c r="O18" i="11"/>
  <c r="C18" i="11"/>
  <c r="D18" i="11"/>
  <c r="H18" i="11"/>
  <c r="L18" i="11"/>
</calcChain>
</file>

<file path=xl/sharedStrings.xml><?xml version="1.0" encoding="utf-8"?>
<sst xmlns="http://schemas.openxmlformats.org/spreadsheetml/2006/main" count="1009" uniqueCount="589">
  <si>
    <t>Candidate Name:</t>
  </si>
  <si>
    <t>Current Organization:</t>
  </si>
  <si>
    <t>Role Applied for:</t>
  </si>
  <si>
    <t>Cell Phone No.:</t>
  </si>
  <si>
    <t>Email ID:</t>
  </si>
  <si>
    <t>EACH SHEET OF THE WORKBOOK SHOULD CONTAIN A SOLUTION TO A SEPARATE QUESTION.</t>
  </si>
  <si>
    <t>INSTRUCTIONS</t>
  </si>
  <si>
    <t>1. Read the instructions for each question sheet carefully and answer accordingly</t>
  </si>
  <si>
    <t>2. All questions do not have the same score. Try to maximize your score!</t>
  </si>
  <si>
    <t>3. Leave a short note on approach used if you have used some excel features which were not retained in the formula</t>
  </si>
  <si>
    <t>4. If you need, you can use multiple sheets for your answers, make sure to name all of them relevant to the question</t>
  </si>
  <si>
    <t>MARKING FOR EACH QUESTION</t>
  </si>
  <si>
    <t>Question 1</t>
  </si>
  <si>
    <t>3 Marks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</si>
  <si>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</si>
  <si>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</si>
  <si>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</si>
  <si>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</si>
  <si>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</si>
  <si>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</si>
  <si>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</si>
  <si>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</si>
  <si>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</si>
  <si>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Total</t>
  </si>
  <si>
    <t>30 Marks</t>
  </si>
  <si>
    <t>Calculate the Sum of the 2010 Usage.</t>
  </si>
  <si>
    <t xml:space="preserve">Calculate Percent of Total usage </t>
  </si>
  <si>
    <t>Calculate the cost of the 2010 Electricity Usage, using the 2010 Cost per kWh number in "Fuel Costs Table"</t>
  </si>
  <si>
    <t>Calculate the Cost Per Square Foot for each facility by dividing the Cost by the Square Footage.</t>
  </si>
  <si>
    <t>Calculate the Average Cost Per Square Foot for all facilities</t>
  </si>
  <si>
    <t>Create a pie chart that illustrates the Percent of Total Usage for each facility.</t>
  </si>
  <si>
    <t>Insert a legend that keys each wedge of the chart to the names of the facilities.</t>
  </si>
  <si>
    <t>Format the chart so that a percentage value is displayed for each wedge of the chart.</t>
  </si>
  <si>
    <t>Fuel Costs Table</t>
  </si>
  <si>
    <t>Fuel Source</t>
  </si>
  <si>
    <t>2010 Cost ($)</t>
  </si>
  <si>
    <t>Unit</t>
  </si>
  <si>
    <t>Gasoline</t>
  </si>
  <si>
    <t>gallon</t>
  </si>
  <si>
    <t>Diesel</t>
  </si>
  <si>
    <t>Electricity</t>
  </si>
  <si>
    <t>kWh</t>
  </si>
  <si>
    <t>Natural Gas</t>
  </si>
  <si>
    <t>Therm</t>
  </si>
  <si>
    <t>Fuel oil</t>
  </si>
  <si>
    <t xml:space="preserve">ELECTRICITY CONSUMPTION </t>
  </si>
  <si>
    <t>FACILITY NAME</t>
  </si>
  <si>
    <t>2010 Usage (kWh)</t>
  </si>
  <si>
    <t>Percent of Total Usage</t>
  </si>
  <si>
    <t>Cost ($)</t>
  </si>
  <si>
    <t>Square Footage</t>
  </si>
  <si>
    <t>Cost Per Square Foot</t>
  </si>
  <si>
    <t>Operations Building</t>
  </si>
  <si>
    <t>District 1 Station</t>
  </si>
  <si>
    <t>District 2 Station</t>
  </si>
  <si>
    <t>Materials Lab</t>
  </si>
  <si>
    <t>Maintenance Building</t>
  </si>
  <si>
    <t>District 3 Station</t>
  </si>
  <si>
    <t>Construction Office</t>
  </si>
  <si>
    <t>TOTAL</t>
  </si>
  <si>
    <t>Price</t>
  </si>
  <si>
    <t>First</t>
  </si>
  <si>
    <t xml:space="preserve">gallons at </t>
  </si>
  <si>
    <t>Next</t>
  </si>
  <si>
    <t xml:space="preserve">Any </t>
  </si>
  <si>
    <t>Gas (in gallons)</t>
  </si>
  <si>
    <t>Notes:</t>
  </si>
  <si>
    <t xml:space="preserve">   The letter grades are assigned to numbers using the following key.</t>
  </si>
  <si>
    <t>If Score is</t>
  </si>
  <si>
    <t>Then return</t>
  </si>
  <si>
    <t>Greater than 89</t>
  </si>
  <si>
    <t>A</t>
  </si>
  <si>
    <t>From 80 to 89</t>
  </si>
  <si>
    <t>B</t>
  </si>
  <si>
    <t>From 70 to 79</t>
  </si>
  <si>
    <t>C</t>
  </si>
  <si>
    <t>From 60 to 69</t>
  </si>
  <si>
    <t>D</t>
  </si>
  <si>
    <t>Less than 60</t>
  </si>
  <si>
    <t>F</t>
  </si>
  <si>
    <t>Score</t>
  </si>
  <si>
    <t>Grades</t>
  </si>
  <si>
    <t>Prakash</t>
  </si>
  <si>
    <t>Rahul</t>
  </si>
  <si>
    <t>Rajiv</t>
  </si>
  <si>
    <t>Priya</t>
  </si>
  <si>
    <t>Amit</t>
  </si>
  <si>
    <t>Karthik</t>
  </si>
  <si>
    <t>Shobha</t>
  </si>
  <si>
    <t>Prateek</t>
  </si>
  <si>
    <t>Payal</t>
  </si>
  <si>
    <t>Prashant</t>
  </si>
  <si>
    <t>Anil</t>
  </si>
  <si>
    <t>Swaroop</t>
  </si>
  <si>
    <t>Tejas</t>
  </si>
  <si>
    <t>Raghav</t>
  </si>
  <si>
    <t>Sanjeev</t>
  </si>
  <si>
    <t>Madhu</t>
  </si>
  <si>
    <t>Murali</t>
  </si>
  <si>
    <t>Aravind</t>
  </si>
  <si>
    <t>Balaji</t>
  </si>
  <si>
    <t>Mukundan</t>
  </si>
  <si>
    <t>Shweta</t>
  </si>
  <si>
    <t>Anusha</t>
  </si>
  <si>
    <t>Ravi</t>
  </si>
  <si>
    <t>Ramya</t>
  </si>
  <si>
    <t>Shriram</t>
  </si>
  <si>
    <t>Sairam</t>
  </si>
  <si>
    <t>Srinivasan</t>
  </si>
  <si>
    <t>Trisha</t>
  </si>
  <si>
    <t>Paul</t>
  </si>
  <si>
    <t>Mani</t>
  </si>
  <si>
    <t>Venkat</t>
  </si>
  <si>
    <t>Abhishek</t>
  </si>
  <si>
    <t>Chanakya</t>
  </si>
  <si>
    <t>Daniel</t>
  </si>
  <si>
    <t>Rishi</t>
  </si>
  <si>
    <t>Vikram</t>
  </si>
  <si>
    <t>Prabhu</t>
  </si>
  <si>
    <t>Mahesh</t>
  </si>
  <si>
    <t>Raj</t>
  </si>
  <si>
    <t>Suresh</t>
  </si>
  <si>
    <t>Arun</t>
  </si>
  <si>
    <t>Jacob</t>
  </si>
  <si>
    <t>Malini</t>
  </si>
  <si>
    <t>Mehul</t>
  </si>
  <si>
    <t>Rajeev</t>
  </si>
  <si>
    <t>Sachin</t>
  </si>
  <si>
    <t>Praphul</t>
  </si>
  <si>
    <t>Diego</t>
  </si>
  <si>
    <t>Below in Column 2 there are some numbers given</t>
  </si>
  <si>
    <t>Please calculate sum of numbers based on the criteria given in the start row number and end row number</t>
  </si>
  <si>
    <t>Formula should be capable enough, if we change start row number and end row number sum will get update</t>
  </si>
  <si>
    <t>For Example: If Start row is 10 and end row is 21 then sum would be 907</t>
  </si>
  <si>
    <r>
      <rPr>
        <b/>
        <sz val="11"/>
        <color theme="1"/>
        <rFont val="Tw Cen MT"/>
        <family val="2"/>
      </rPr>
      <t>Hint:</t>
    </r>
    <r>
      <rPr>
        <sz val="11"/>
        <color theme="1"/>
        <rFont val="Tw Cen MT"/>
        <family val="2"/>
      </rPr>
      <t xml:space="preserve"> Use Address , OFFSET and Indirect function with SUM</t>
    </r>
  </si>
  <si>
    <t>Number</t>
  </si>
  <si>
    <t>Start Row Number</t>
  </si>
  <si>
    <t>End Row Number</t>
  </si>
  <si>
    <t>SUM</t>
  </si>
  <si>
    <t>ID</t>
  </si>
  <si>
    <t>City</t>
  </si>
  <si>
    <t>State</t>
  </si>
  <si>
    <t>Population</t>
  </si>
  <si>
    <t>Instructions</t>
  </si>
  <si>
    <t>Mumbai (Bombay)</t>
  </si>
  <si>
    <t>Maharashtra</t>
  </si>
  <si>
    <t>Delhi</t>
  </si>
  <si>
    <t>Using Formulas, derive the following figures:</t>
  </si>
  <si>
    <t>Calcutta [Kolkata]</t>
  </si>
  <si>
    <t>West Bengali</t>
  </si>
  <si>
    <t>Chennai (Madras)</t>
  </si>
  <si>
    <t>Tamil Nadu</t>
  </si>
  <si>
    <t>Q:</t>
  </si>
  <si>
    <t>1. Total number of cities in Rajasthan:</t>
  </si>
  <si>
    <t>Hyderabad</t>
  </si>
  <si>
    <t>Andhra Pradesh</t>
  </si>
  <si>
    <t>A:</t>
  </si>
  <si>
    <t>Ahmedabad</t>
  </si>
  <si>
    <t>Gujarat</t>
  </si>
  <si>
    <t>2. Sum of population of all cities in Andhra Pradesh:</t>
  </si>
  <si>
    <t>Bangalore</t>
  </si>
  <si>
    <t>Karnataka</t>
  </si>
  <si>
    <t>Kanpur</t>
  </si>
  <si>
    <t>Uttar Pradesh</t>
  </si>
  <si>
    <r>
      <t>3. Number of cities and sum of population of cities where total population of a city is greater than a million. Give the result in following format --&gt; 
Cities: {</t>
    </r>
    <r>
      <rPr>
        <b/>
        <sz val="14"/>
        <color theme="1"/>
        <rFont val="Tw Cen MT"/>
        <family val="2"/>
      </rPr>
      <t>Number</t>
    </r>
    <r>
      <rPr>
        <sz val="14"/>
        <color theme="1"/>
        <rFont val="Tw Cen MT"/>
        <family val="2"/>
      </rPr>
      <t>}</t>
    </r>
    <r>
      <rPr>
        <b/>
        <sz val="14"/>
        <color theme="1"/>
        <rFont val="Tw Cen MT"/>
        <family val="2"/>
      </rPr>
      <t>,</t>
    </r>
    <r>
      <rPr>
        <sz val="14"/>
        <color theme="1"/>
        <rFont val="Tw Cen MT"/>
        <family val="2"/>
      </rPr>
      <t xml:space="preserve"> Total Population: {</t>
    </r>
    <r>
      <rPr>
        <b/>
        <sz val="14"/>
        <color theme="1"/>
        <rFont val="Tw Cen MT"/>
        <family val="2"/>
      </rPr>
      <t>Sum of Population</t>
    </r>
    <r>
      <rPr>
        <sz val="14"/>
        <color theme="1"/>
        <rFont val="Tw Cen MT"/>
        <family val="2"/>
      </rPr>
      <t>}</t>
    </r>
  </si>
  <si>
    <t>Nagpur</t>
  </si>
  <si>
    <t>Lucknow</t>
  </si>
  <si>
    <t>Pune</t>
  </si>
  <si>
    <t>Surat</t>
  </si>
  <si>
    <t>4. Number of cities in Maharashtra and Madhya Pradesh where population is less than 1,00,000.</t>
  </si>
  <si>
    <t>Jaipur</t>
  </si>
  <si>
    <t>Rajasthan</t>
  </si>
  <si>
    <t>Indore</t>
  </si>
  <si>
    <t>Madhya Pradesh</t>
  </si>
  <si>
    <t>Bhopal</t>
  </si>
  <si>
    <t>Ludhiana</t>
  </si>
  <si>
    <t>Punjab</t>
  </si>
  <si>
    <t>Vadodara (Baroda)</t>
  </si>
  <si>
    <t>Kalyan</t>
  </si>
  <si>
    <t>Madurai</t>
  </si>
  <si>
    <t>Haora (Howrah)</t>
  </si>
  <si>
    <t>Varanasi (Benares)</t>
  </si>
  <si>
    <t>Patna</t>
  </si>
  <si>
    <t>Bihar</t>
  </si>
  <si>
    <t>Srinagar</t>
  </si>
  <si>
    <t>Jammu and Kashmir</t>
  </si>
  <si>
    <t>Agra</t>
  </si>
  <si>
    <t>Coimbatore</t>
  </si>
  <si>
    <t>Thane (Thana)</t>
  </si>
  <si>
    <t>Allahabad</t>
  </si>
  <si>
    <t>Meerut</t>
  </si>
  <si>
    <t>Vishakhapatnam</t>
  </si>
  <si>
    <t>Jabalpur</t>
  </si>
  <si>
    <t>Amritsar</t>
  </si>
  <si>
    <t>Faridabad</t>
  </si>
  <si>
    <t>Haryana</t>
  </si>
  <si>
    <t>Vijayawada</t>
  </si>
  <si>
    <t>Gwalior</t>
  </si>
  <si>
    <t>Jodhpur</t>
  </si>
  <si>
    <t>Nashik (Nasik)</t>
  </si>
  <si>
    <t>Hubli-Dharwad</t>
  </si>
  <si>
    <t>Solapur (Sholapur)</t>
  </si>
  <si>
    <t>Ranchi</t>
  </si>
  <si>
    <t>Jharkhand</t>
  </si>
  <si>
    <t>Bareilly</t>
  </si>
  <si>
    <t>Guwahati (Gauhati)</t>
  </si>
  <si>
    <t>Assam</t>
  </si>
  <si>
    <t>Shambajinagar (Aurangabad)</t>
  </si>
  <si>
    <t>Cochin (Kochi)</t>
  </si>
  <si>
    <t>Kerala</t>
  </si>
  <si>
    <t>Rajkot</t>
  </si>
  <si>
    <t>Kota</t>
  </si>
  <si>
    <t>Thiruvananthapuram (Trivandrum</t>
  </si>
  <si>
    <t>Pimpri-Chinchwad</t>
  </si>
  <si>
    <t>Jalandhar (Jullundur)</t>
  </si>
  <si>
    <t>Gorakhpur</t>
  </si>
  <si>
    <t>Chandigarh</t>
  </si>
  <si>
    <t>Mysore</t>
  </si>
  <si>
    <t>Aligarh</t>
  </si>
  <si>
    <t>Guntur</t>
  </si>
  <si>
    <t>Jamshedpur</t>
  </si>
  <si>
    <t>Ghaziabad</t>
  </si>
  <si>
    <t>Warangal</t>
  </si>
  <si>
    <t>Raipur</t>
  </si>
  <si>
    <t>Chhatisgarh</t>
  </si>
  <si>
    <t>Moradabad</t>
  </si>
  <si>
    <t>Durgapur</t>
  </si>
  <si>
    <t>Amravati</t>
  </si>
  <si>
    <t>Calicut (Kozhikode)</t>
  </si>
  <si>
    <t>Bikaner</t>
  </si>
  <si>
    <t>Bhubaneswar</t>
  </si>
  <si>
    <t>Orissa</t>
  </si>
  <si>
    <t>Kolhapur</t>
  </si>
  <si>
    <t>Kataka (Cuttack)</t>
  </si>
  <si>
    <t>Ajmer</t>
  </si>
  <si>
    <t>Bhavnagar</t>
  </si>
  <si>
    <t>Tiruchirapalli</t>
  </si>
  <si>
    <t>Bhilai</t>
  </si>
  <si>
    <t>Bhiwandi</t>
  </si>
  <si>
    <t>Saharanpur</t>
  </si>
  <si>
    <t>Ulhasnagar</t>
  </si>
  <si>
    <t>Salem</t>
  </si>
  <si>
    <t>Ujjain</t>
  </si>
  <si>
    <t>Malegaon</t>
  </si>
  <si>
    <t>Jamnagar</t>
  </si>
  <si>
    <t>Bokaro Steel City</t>
  </si>
  <si>
    <t>Akola</t>
  </si>
  <si>
    <t>Belgaum</t>
  </si>
  <si>
    <t>Rajahmundry</t>
  </si>
  <si>
    <t>Nellore</t>
  </si>
  <si>
    <t>Udaipur</t>
  </si>
  <si>
    <t>New Bombay</t>
  </si>
  <si>
    <t>Bhatpara</t>
  </si>
  <si>
    <t>Gulbarga</t>
  </si>
  <si>
    <t>New Delhi</t>
  </si>
  <si>
    <t>Jhansi</t>
  </si>
  <si>
    <t>Gaya</t>
  </si>
  <si>
    <t>Kakinada</t>
  </si>
  <si>
    <t>Dhule (Dhulia)</t>
  </si>
  <si>
    <t>Panihati</t>
  </si>
  <si>
    <t>Nanded (Nander)</t>
  </si>
  <si>
    <t>Mangalore</t>
  </si>
  <si>
    <t>Dehra Dun</t>
  </si>
  <si>
    <t>Uttaranchal</t>
  </si>
  <si>
    <t>Kamarhati</t>
  </si>
  <si>
    <t>Davangere</t>
  </si>
  <si>
    <t>Asansol</t>
  </si>
  <si>
    <t>Bhagalpur</t>
  </si>
  <si>
    <t>Bellary</t>
  </si>
  <si>
    <t>Barddhaman (Burdwan)</t>
  </si>
  <si>
    <t>Rampur</t>
  </si>
  <si>
    <t>Jalgaon</t>
  </si>
  <si>
    <t>Muzaffarpur</t>
  </si>
  <si>
    <t>Nizamabad</t>
  </si>
  <si>
    <t>Muzaffarnagar</t>
  </si>
  <si>
    <t>Patiala</t>
  </si>
  <si>
    <t>Shahjahanpur</t>
  </si>
  <si>
    <t>Kurnool</t>
  </si>
  <si>
    <t>Tiruppur (Tirupper)</t>
  </si>
  <si>
    <t>Rohtak</t>
  </si>
  <si>
    <t>South Dum Dum</t>
  </si>
  <si>
    <t>Mathura</t>
  </si>
  <si>
    <t>Chandrapur</t>
  </si>
  <si>
    <t>Barahanagar (Baranagar)</t>
  </si>
  <si>
    <t>Darbhanga</t>
  </si>
  <si>
    <t>Siliguri (Shiliguri)</t>
  </si>
  <si>
    <t>Raurkela</t>
  </si>
  <si>
    <t>Ambattur</t>
  </si>
  <si>
    <t>Panipat</t>
  </si>
  <si>
    <t>Firozabad</t>
  </si>
  <si>
    <t>Ichalkaranji</t>
  </si>
  <si>
    <t>Jammu</t>
  </si>
  <si>
    <t>Ramagundam</t>
  </si>
  <si>
    <t>Eluru</t>
  </si>
  <si>
    <t>Brahmapur</t>
  </si>
  <si>
    <t>Alwar</t>
  </si>
  <si>
    <t>Pondicherry</t>
  </si>
  <si>
    <t>Thanjavur</t>
  </si>
  <si>
    <t>Bihar Sharif</t>
  </si>
  <si>
    <t>Tuticorin</t>
  </si>
  <si>
    <t>Imphal</t>
  </si>
  <si>
    <t>Manipur</t>
  </si>
  <si>
    <t>Latur</t>
  </si>
  <si>
    <t>Sagar</t>
  </si>
  <si>
    <t>Farrukhabad-cum-Fatehgarh</t>
  </si>
  <si>
    <t>Sangli</t>
  </si>
  <si>
    <t>Parbhani</t>
  </si>
  <si>
    <t>Nagar Coil</t>
  </si>
  <si>
    <t>Bijapur</t>
  </si>
  <si>
    <t>Kukatpalle</t>
  </si>
  <si>
    <t>Bally</t>
  </si>
  <si>
    <t>Bhilwara</t>
  </si>
  <si>
    <t>Ratlam</t>
  </si>
  <si>
    <t>Avadi</t>
  </si>
  <si>
    <t>Dindigul</t>
  </si>
  <si>
    <t>Ahmadnagar</t>
  </si>
  <si>
    <t>Bilaspur</t>
  </si>
  <si>
    <t>Shimoga</t>
  </si>
  <si>
    <t>Kharagpur</t>
  </si>
  <si>
    <t>Mira Bhayandar</t>
  </si>
  <si>
    <t>Vellore</t>
  </si>
  <si>
    <t>Jalna</t>
  </si>
  <si>
    <t>Burnpur</t>
  </si>
  <si>
    <t>Anantapur</t>
  </si>
  <si>
    <t>Allappuzha (Alleppey)</t>
  </si>
  <si>
    <t>Tirupati</t>
  </si>
  <si>
    <t>Karnal</t>
  </si>
  <si>
    <t>Burhanpur</t>
  </si>
  <si>
    <t>Hisar (Hissar)</t>
  </si>
  <si>
    <t>Tiruvottiyur</t>
  </si>
  <si>
    <t>Mirzapur-cum-Vindhyachal</t>
  </si>
  <si>
    <t>Secunderabad</t>
  </si>
  <si>
    <t>Nadiad</t>
  </si>
  <si>
    <t>Dewas</t>
  </si>
  <si>
    <t>Murwara (Katni)</t>
  </si>
  <si>
    <t>Ganganagar</t>
  </si>
  <si>
    <t>Vizianagaram</t>
  </si>
  <si>
    <t>Erode</t>
  </si>
  <si>
    <t>Machilipatnam (Masulipatam)</t>
  </si>
  <si>
    <t>Bhatinda (Bathinda)</t>
  </si>
  <si>
    <t>Raichur</t>
  </si>
  <si>
    <t>Agartala</t>
  </si>
  <si>
    <t>Tripura</t>
  </si>
  <si>
    <t>Arrah (Ara)</t>
  </si>
  <si>
    <t>Satna</t>
  </si>
  <si>
    <t>Lalbahadur Nagar</t>
  </si>
  <si>
    <t>Aizawl</t>
  </si>
  <si>
    <t>Mizoram</t>
  </si>
  <si>
    <t>Uluberia</t>
  </si>
  <si>
    <t>Katihar</t>
  </si>
  <si>
    <t>Cuddalore</t>
  </si>
  <si>
    <t>Hugli-Chinsurah</t>
  </si>
  <si>
    <t>Dhanbad</t>
  </si>
  <si>
    <t>Raiganj</t>
  </si>
  <si>
    <t>Sambhal</t>
  </si>
  <si>
    <t>Durg</t>
  </si>
  <si>
    <t>Munger (Monghyr)</t>
  </si>
  <si>
    <t>Kanchipuram</t>
  </si>
  <si>
    <t>North Dum Dum</t>
  </si>
  <si>
    <t>Karimnagar</t>
  </si>
  <si>
    <t>Bharatpur</t>
  </si>
  <si>
    <t>Sikar</t>
  </si>
  <si>
    <t>Hardwar (Haridwar)</t>
  </si>
  <si>
    <t>Dabgram</t>
  </si>
  <si>
    <t>Morena</t>
  </si>
  <si>
    <t>Noida</t>
  </si>
  <si>
    <t>Hapur</t>
  </si>
  <si>
    <t>Bhusawal</t>
  </si>
  <si>
    <t>Khandwa</t>
  </si>
  <si>
    <t>Yamuna Nagar</t>
  </si>
  <si>
    <t>Sonipat (Sonepat)</t>
  </si>
  <si>
    <t>Tenali</t>
  </si>
  <si>
    <t>Raurkela Civil Township</t>
  </si>
  <si>
    <t>Kollam (Quilon)</t>
  </si>
  <si>
    <t>Kumbakonam</t>
  </si>
  <si>
    <t>Ingraj Bazar (English Bazar)</t>
  </si>
  <si>
    <t>Timkur</t>
  </si>
  <si>
    <t>Amroha</t>
  </si>
  <si>
    <t>Serampore</t>
  </si>
  <si>
    <t>Chapra</t>
  </si>
  <si>
    <t>Pali</t>
  </si>
  <si>
    <t>Maunath Bhanjan</t>
  </si>
  <si>
    <t>Adoni</t>
  </si>
  <si>
    <t>Jaunpur</t>
  </si>
  <si>
    <t>Tirunelveli</t>
  </si>
  <si>
    <t>Bahraich</t>
  </si>
  <si>
    <t>Gadag Betigeri</t>
  </si>
  <si>
    <t>Proddatur</t>
  </si>
  <si>
    <t>Chittoor</t>
  </si>
  <si>
    <t>Barrackpur</t>
  </si>
  <si>
    <t>Bharuch (Broach)</t>
  </si>
  <si>
    <t>Naihati</t>
  </si>
  <si>
    <t>Shillong</t>
  </si>
  <si>
    <t>Meghalaya</t>
  </si>
  <si>
    <t>Sambalpur</t>
  </si>
  <si>
    <t>Junagadh</t>
  </si>
  <si>
    <t>Rae Bareli</t>
  </si>
  <si>
    <t>Rewa</t>
  </si>
  <si>
    <t>Gurgaon</t>
  </si>
  <si>
    <t>Khammam</t>
  </si>
  <si>
    <t>Bulandshahr</t>
  </si>
  <si>
    <t>Navsari</t>
  </si>
  <si>
    <t>Malkajgiri</t>
  </si>
  <si>
    <t>Midnapore (Medinipur)</t>
  </si>
  <si>
    <t>Miraj</t>
  </si>
  <si>
    <t>Raj Nandgaon</t>
  </si>
  <si>
    <t>Alandur</t>
  </si>
  <si>
    <t>Puri</t>
  </si>
  <si>
    <t>Navadwip</t>
  </si>
  <si>
    <t>Sirsa</t>
  </si>
  <si>
    <t>Korba</t>
  </si>
  <si>
    <t>Faizabad</t>
  </si>
  <si>
    <t>Etawah</t>
  </si>
  <si>
    <t>Pathankot</t>
  </si>
  <si>
    <t>Gandhinagar</t>
  </si>
  <si>
    <t>Palghat (Palakkad)</t>
  </si>
  <si>
    <t>Veraval</t>
  </si>
  <si>
    <t>Hoshiarpur</t>
  </si>
  <si>
    <t>Ambala</t>
  </si>
  <si>
    <t>Sitapur</t>
  </si>
  <si>
    <t>Bhiwani</t>
  </si>
  <si>
    <t>Cuddapah</t>
  </si>
  <si>
    <t>Bhimavaram</t>
  </si>
  <si>
    <t>Krishnanagar</t>
  </si>
  <si>
    <t>Chandannagar</t>
  </si>
  <si>
    <t>Mandya</t>
  </si>
  <si>
    <t>Dibrugarh</t>
  </si>
  <si>
    <t>Nandyal</t>
  </si>
  <si>
    <t>Balurghat</t>
  </si>
  <si>
    <t>Neyveli</t>
  </si>
  <si>
    <t>Fatehpur</t>
  </si>
  <si>
    <t>Mahbubnagar</t>
  </si>
  <si>
    <t>Budaun</t>
  </si>
  <si>
    <t>Porbandar</t>
  </si>
  <si>
    <t>Silchar</t>
  </si>
  <si>
    <t>Berhampore (Baharampur)</t>
  </si>
  <si>
    <t>Purnea (Purnia)</t>
  </si>
  <si>
    <t>Bankura</t>
  </si>
  <si>
    <t>Rajapalaiyam</t>
  </si>
  <si>
    <t>Titagarh</t>
  </si>
  <si>
    <t>Halisahar</t>
  </si>
  <si>
    <t>Hathras</t>
  </si>
  <si>
    <t>Bhir (Bid)</t>
  </si>
  <si>
    <t>Pallavaram</t>
  </si>
  <si>
    <t>Anand</t>
  </si>
  <si>
    <t>Mango</t>
  </si>
  <si>
    <t>Santipur</t>
  </si>
  <si>
    <t>Bhind</t>
  </si>
  <si>
    <t>Gondiya</t>
  </si>
  <si>
    <t>Tiruvannamalai</t>
  </si>
  <si>
    <t>Yeotmal (Yavatmal)</t>
  </si>
  <si>
    <t>Kulti-Barakar</t>
  </si>
  <si>
    <t>Moga</t>
  </si>
  <si>
    <t>Shivapuri</t>
  </si>
  <si>
    <t>Bidar</t>
  </si>
  <si>
    <t>Guntakal</t>
  </si>
  <si>
    <t>Unnao</t>
  </si>
  <si>
    <t>Barasat</t>
  </si>
  <si>
    <t>Tambaram</t>
  </si>
  <si>
    <t>Abohar</t>
  </si>
  <si>
    <t>Pilibhit</t>
  </si>
  <si>
    <t>Valparai</t>
  </si>
  <si>
    <t>Gonda</t>
  </si>
  <si>
    <t>Surendranagar</t>
  </si>
  <si>
    <t>Qutubullapur</t>
  </si>
  <si>
    <t>Beawar</t>
  </si>
  <si>
    <t>Hindupur</t>
  </si>
  <si>
    <t>Gandhidham</t>
  </si>
  <si>
    <t>Haldwani-cum-Kathgodam</t>
  </si>
  <si>
    <t>Tellicherry (Thalassery)</t>
  </si>
  <si>
    <t>Wardha</t>
  </si>
  <si>
    <t>Rishra</t>
  </si>
  <si>
    <t>Bhuj</t>
  </si>
  <si>
    <t>Modinagar</t>
  </si>
  <si>
    <t>Gudivada</t>
  </si>
  <si>
    <t>Basirhat</t>
  </si>
  <si>
    <t>Uttarpara-Kotrung</t>
  </si>
  <si>
    <t>Ongole</t>
  </si>
  <si>
    <t>North Barrackpur</t>
  </si>
  <si>
    <t>Guna</t>
  </si>
  <si>
    <t>Haldia</t>
  </si>
  <si>
    <t>Habra</t>
  </si>
  <si>
    <t>Kanchrapara</t>
  </si>
  <si>
    <t>Tonk</t>
  </si>
  <si>
    <t>Champdani</t>
  </si>
  <si>
    <t>Orai</t>
  </si>
  <si>
    <t>Pudukkottai</t>
  </si>
  <si>
    <t>Sasaram</t>
  </si>
  <si>
    <t>Hazaribag</t>
  </si>
  <si>
    <t>Palayankottai</t>
  </si>
  <si>
    <t>Banda</t>
  </si>
  <si>
    <t>Godhra</t>
  </si>
  <si>
    <t>Hospet</t>
  </si>
  <si>
    <t>Ashoknagar-Kalyangarh</t>
  </si>
  <si>
    <t>Achalpur</t>
  </si>
  <si>
    <t>Patan</t>
  </si>
  <si>
    <t>Mandasor</t>
  </si>
  <si>
    <t>Damoh</t>
  </si>
  <si>
    <t>Satara</t>
  </si>
  <si>
    <t>Meerut Cantonment</t>
  </si>
  <si>
    <t>Dehri</t>
  </si>
  <si>
    <t>Delhi Cantonment</t>
  </si>
  <si>
    <t>Chhindwara</t>
  </si>
  <si>
    <t>Bansberia</t>
  </si>
  <si>
    <t>Nagaon</t>
  </si>
  <si>
    <t>Kanpur Cantonment</t>
  </si>
  <si>
    <t>Vidisha</t>
  </si>
  <si>
    <t>Bettiah</t>
  </si>
  <si>
    <t>Purulia</t>
  </si>
  <si>
    <t>Hassan</t>
  </si>
  <si>
    <t>Ambala Sadar</t>
  </si>
  <si>
    <t>Baidyabati</t>
  </si>
  <si>
    <t>Morvi</t>
  </si>
  <si>
    <t>Raigarh</t>
  </si>
  <si>
    <t>Vejalpur</t>
  </si>
  <si>
    <t>Fill this multiplication table with just one formula and copy past the same in all the red cells.</t>
  </si>
  <si>
    <t>Multiplication Table</t>
  </si>
  <si>
    <t>1. Please Map area sales manager name into column C from Table given in Column F and G</t>
  </si>
  <si>
    <t>2. In Column J extract first name of area sales manager from column G</t>
  </si>
  <si>
    <t>Date</t>
  </si>
  <si>
    <t>Zones of India</t>
  </si>
  <si>
    <t>Area Sales Manager</t>
  </si>
  <si>
    <t>Sales ('000)</t>
  </si>
  <si>
    <t>Area Sales Manager First Name</t>
  </si>
  <si>
    <t>West</t>
  </si>
  <si>
    <t>East</t>
  </si>
  <si>
    <t>Karan Singhal</t>
  </si>
  <si>
    <t>North</t>
  </si>
  <si>
    <t>Raghav Chawla</t>
  </si>
  <si>
    <t>South</t>
  </si>
  <si>
    <t>Saurabh Sharma</t>
  </si>
  <si>
    <t>Hemant Punia</t>
  </si>
  <si>
    <t>North Europe Maximum Sales ('000)</t>
  </si>
  <si>
    <t>Use Conditional Formating to highlight the Revenue based on the Legend below</t>
  </si>
  <si>
    <t>Revenue</t>
  </si>
  <si>
    <t>Colur</t>
  </si>
  <si>
    <t>&lt; 100</t>
  </si>
  <si>
    <t xml:space="preserve">Name </t>
  </si>
  <si>
    <t>&gt;100 &lt;1000</t>
  </si>
  <si>
    <t>Mach, Kimberly</t>
  </si>
  <si>
    <t>&gt;1000</t>
  </si>
  <si>
    <t>Frawley, Christine</t>
  </si>
  <si>
    <t>Byrne, Malcolm</t>
  </si>
  <si>
    <t>Mcmullan, Liam</t>
  </si>
  <si>
    <t>Westgate, Laura</t>
  </si>
  <si>
    <t>Breton, Yves</t>
  </si>
  <si>
    <t>Mcgorisk, John</t>
  </si>
  <si>
    <t>Saiewitz, Cindi</t>
  </si>
  <si>
    <t>Mcguinn, Eoin</t>
  </si>
  <si>
    <t>Neal, Christa</t>
  </si>
  <si>
    <t>Larroche, Florence</t>
  </si>
  <si>
    <t>Mallin, Ciar</t>
  </si>
  <si>
    <t>Blanc, Nicolas</t>
  </si>
  <si>
    <t>Largueze, Vincent</t>
  </si>
  <si>
    <t>Mcnamara, Karen</t>
  </si>
  <si>
    <t>Bradshaw, Mairead</t>
  </si>
  <si>
    <t>D'Arcy, Mark</t>
  </si>
  <si>
    <t>Kennedy, Maurice</t>
  </si>
  <si>
    <t>Power, Irene</t>
  </si>
  <si>
    <t>Pierce, David</t>
  </si>
  <si>
    <t>Oliveira, Gabriela</t>
  </si>
  <si>
    <t>Temple, Derek</t>
  </si>
  <si>
    <t>Ryan, Orla B</t>
  </si>
  <si>
    <t>Below in the table Candidate_Names are given with their department names and marks obtained</t>
  </si>
  <si>
    <t>Using excel formula, Rank Each Student in their department based on marks they got</t>
  </si>
  <si>
    <t>Dept_Name</t>
  </si>
  <si>
    <t>Candidate_Name</t>
  </si>
  <si>
    <t>Marks</t>
  </si>
  <si>
    <t>Rank</t>
  </si>
  <si>
    <t>Bio-Tech</t>
  </si>
  <si>
    <t>Electricals</t>
  </si>
  <si>
    <t>Mechanical</t>
  </si>
  <si>
    <t>Chemical</t>
  </si>
  <si>
    <t>Civil</t>
  </si>
  <si>
    <t>Computer Science</t>
  </si>
  <si>
    <r>
      <t>SAVE THE WORKBOOK AS YOUR NAME BEFORE STARTING THE TEST (</t>
    </r>
    <r>
      <rPr>
        <b/>
        <i/>
        <sz val="14"/>
        <rFont val="Calibri"/>
        <family val="2"/>
        <scheme val="minor"/>
      </rPr>
      <t>firstname_lastname.xlsb</t>
    </r>
    <r>
      <rPr>
        <b/>
        <i/>
        <sz val="14"/>
        <color indexed="20"/>
        <rFont val="Calibri"/>
        <family val="2"/>
        <scheme val="minor"/>
      </rPr>
      <t>)</t>
    </r>
  </si>
  <si>
    <t>1 -500</t>
  </si>
  <si>
    <t>501-1000</t>
  </si>
  <si>
    <t>Greater than 1000</t>
  </si>
  <si>
    <t>Q2. Calculate Cost of Gas (in Gallons) according to the slabs given in the table below</t>
  </si>
  <si>
    <t>Q2. Part2</t>
  </si>
  <si>
    <t>Q2. Part1</t>
  </si>
  <si>
    <t>Table 2</t>
  </si>
  <si>
    <t>Department Wise Range</t>
  </si>
  <si>
    <t>&gt;1600</t>
  </si>
  <si>
    <t>500-1000</t>
  </si>
  <si>
    <t>1-500</t>
  </si>
  <si>
    <t>Q3. Grade Score in table 2 basis the list below without using nestedif</t>
  </si>
  <si>
    <r>
      <t xml:space="preserve">Example    -&gt;     </t>
    </r>
    <r>
      <rPr>
        <sz val="36"/>
        <rFont val="Tw Cen MT"/>
        <family val="2"/>
      </rPr>
      <t>2X1=2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</si>
</sst>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[Blue]\+0.00%;[Red]\-0.00%;0%"/>
    <numFmt numFmtId="167" formatCode="0.000%"/>
    <numFmt numFmtId="168" formatCode="mmmm"/>
    <numFmt numFmtId="169" formatCode="&quot;Year&quot;\ #"/>
    <numFmt numFmtId="170" formatCode="0.00\ \l\b"/>
    <numFmt numFmtId="171" formatCode="_(* #,##0_);_(* \(#,##0\);_(* &quot;-&quot;??_);_(@_)"/>
    <numFmt numFmtId="172" formatCode="&quot;$&quot;#,##0.00"/>
  </numFmts>
  <fonts count="6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7.7"/>
      <color rgb="FFFFFFFF"/>
      <name val="Segoe UI"/>
      <family val="2"/>
    </font>
    <font>
      <b/>
      <i/>
      <sz val="11"/>
      <color theme="1"/>
      <name val="Calibri"/>
      <family val="2"/>
      <scheme val="minor"/>
    </font>
    <font>
      <b/>
      <i/>
      <sz val="14"/>
      <color indexed="20"/>
      <name val="Calibri"/>
      <family val="2"/>
      <scheme val="minor"/>
    </font>
    <font>
      <b/>
      <i/>
      <sz val="14"/>
      <name val="Calibri"/>
      <family val="2"/>
      <scheme val="minor"/>
    </font>
    <font>
      <sz val="10"/>
      <color indexed="16"/>
      <name val="Calibri"/>
      <family val="2"/>
      <scheme val="minor"/>
    </font>
    <font>
      <b/>
      <i/>
      <sz val="12"/>
      <color indexed="20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color indexed="16"/>
      <name val="Calibri"/>
      <family val="2"/>
      <scheme val="minor"/>
    </font>
    <font>
      <b/>
      <sz val="14"/>
      <color indexed="16"/>
      <name val="Calibri"/>
      <family val="2"/>
      <scheme val="minor"/>
    </font>
    <font>
      <b/>
      <u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0"/>
      <color indexed="23"/>
      <name val="Zurich LtCn BT"/>
    </font>
    <font>
      <sz val="10"/>
      <color indexed="18"/>
      <name val="Zurich LtCn BT"/>
    </font>
    <font>
      <sz val="16"/>
      <color indexed="9"/>
      <name val="Impact"/>
      <family val="2"/>
    </font>
    <font>
      <b/>
      <sz val="12"/>
      <name val="Garamond"/>
      <family val="1"/>
    </font>
    <font>
      <sz val="10"/>
      <name val="Zurich XCn BT"/>
    </font>
    <font>
      <i/>
      <sz val="10"/>
      <color indexed="23"/>
      <name val="Arial Narrow"/>
      <family val="2"/>
    </font>
    <font>
      <b/>
      <sz val="10"/>
      <name val="Arial Narrow"/>
      <family val="2"/>
    </font>
    <font>
      <sz val="10"/>
      <color indexed="18"/>
      <name val="Arial Narrow"/>
      <family val="2"/>
    </font>
    <font>
      <sz val="9"/>
      <name val="Verdana"/>
      <family val="2"/>
    </font>
    <font>
      <sz val="10"/>
      <name val="Arial Narrow"/>
      <family val="2"/>
    </font>
    <font>
      <sz val="10"/>
      <name val="Haettenschweiler"/>
      <family val="2"/>
    </font>
    <font>
      <b/>
      <sz val="10"/>
      <name val="Arial"/>
      <family val="2"/>
    </font>
    <font>
      <sz val="16"/>
      <color indexed="8"/>
      <name val="Arial Black"/>
      <family val="2"/>
    </font>
    <font>
      <b/>
      <sz val="10"/>
      <name val="Zurich LtCn BT"/>
    </font>
    <font>
      <sz val="16"/>
      <color indexed="8"/>
      <name val="Impact"/>
      <family val="2"/>
    </font>
    <font>
      <sz val="16"/>
      <color indexed="17"/>
      <name val="Zurich Blk BT"/>
    </font>
    <font>
      <sz val="16"/>
      <color indexed="16"/>
      <name val="Zurich Blk BT"/>
    </font>
    <font>
      <sz val="8"/>
      <name val="Lucida Sans"/>
      <family val="2"/>
    </font>
    <font>
      <sz val="12"/>
      <name val="Arial"/>
      <family val="2"/>
    </font>
    <font>
      <sz val="10"/>
      <name val="Zurich LtCn BT"/>
    </font>
    <font>
      <sz val="10"/>
      <name val="Impact"/>
      <family val="2"/>
    </font>
    <font>
      <sz val="12"/>
      <color indexed="8"/>
      <name val="Verdana"/>
      <family val="2"/>
    </font>
    <font>
      <i/>
      <sz val="10"/>
      <color indexed="9"/>
      <name val="Garamond"/>
      <family val="1"/>
    </font>
    <font>
      <b/>
      <sz val="14"/>
      <name val="Garamond"/>
      <family val="1"/>
    </font>
    <font>
      <sz val="10"/>
      <name val="Zurich LtCn BT"/>
      <family val="2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indexed="54"/>
      <name val="Trebuchet MS"/>
      <family val="2"/>
    </font>
    <font>
      <sz val="10"/>
      <name val="Trebuchet MS"/>
      <family val="2"/>
    </font>
    <font>
      <b/>
      <sz val="10"/>
      <color indexed="54"/>
      <name val="Trebuchet MS"/>
      <family val="2"/>
    </font>
    <font>
      <u/>
      <sz val="10"/>
      <color indexed="12"/>
      <name val="Arial"/>
      <family val="2"/>
    </font>
    <font>
      <sz val="11"/>
      <color theme="1"/>
      <name val="Tw Cen MT"/>
      <family val="2"/>
    </font>
    <font>
      <b/>
      <sz val="11"/>
      <color theme="1"/>
      <name val="Tw Cen MT"/>
      <family val="2"/>
    </font>
    <font>
      <b/>
      <sz val="11"/>
      <color theme="0"/>
      <name val="Tw Cen MT"/>
      <family val="2"/>
    </font>
    <font>
      <sz val="12"/>
      <color theme="1"/>
      <name val="Tw Cen MT"/>
      <family val="2"/>
    </font>
    <font>
      <b/>
      <sz val="12"/>
      <color theme="0"/>
      <name val="Tw Cen MT"/>
      <family val="2"/>
    </font>
    <font>
      <sz val="14"/>
      <color theme="1"/>
      <name val="Tw Cen MT"/>
      <family val="2"/>
    </font>
    <font>
      <b/>
      <sz val="14"/>
      <color theme="1"/>
      <name val="Tw Cen MT"/>
      <family val="2"/>
    </font>
    <font>
      <sz val="20"/>
      <name val="Tw Cen MT"/>
      <family val="2"/>
    </font>
    <font>
      <sz val="10"/>
      <name val="Tw Cen MT"/>
      <family val="2"/>
    </font>
    <font>
      <b/>
      <sz val="10"/>
      <name val="Tw Cen MT"/>
      <family val="2"/>
    </font>
    <font>
      <sz val="14"/>
      <color theme="0"/>
      <name val="Tw Cen MT"/>
      <family val="2"/>
    </font>
    <font>
      <b/>
      <sz val="13"/>
      <name val="Tw Cen MT"/>
      <family val="2"/>
    </font>
    <font>
      <sz val="13"/>
      <color theme="1"/>
      <name val="Tw Cen MT"/>
      <family val="2"/>
    </font>
    <font>
      <sz val="11"/>
      <color theme="1"/>
      <name val="Calibri"/>
      <family val="2"/>
      <scheme val="minor"/>
    </font>
    <font>
      <sz val="11"/>
      <name val="Trebuchet MS"/>
      <family val="2"/>
    </font>
    <font>
      <sz val="36"/>
      <color theme="1"/>
      <name val="Tw Cen MT"/>
      <family val="2"/>
    </font>
    <font>
      <sz val="36"/>
      <name val="Tw Cen MT"/>
      <family val="2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B7"/>
        <bgColor indexed="64"/>
      </patternFill>
    </fill>
    <fill>
      <patternFill patternType="gray125">
        <fgColor indexed="13"/>
      </patternFill>
    </fill>
    <fill>
      <patternFill patternType="lightGray">
        <fgColor indexed="13"/>
      </patternFill>
    </fill>
    <fill>
      <patternFill patternType="solid">
        <fgColor indexed="20"/>
        <bgColor indexed="64"/>
      </patternFill>
    </fill>
    <fill>
      <patternFill patternType="solid">
        <fgColor indexed="47"/>
        <bgColor indexed="64"/>
      </patternFill>
    </fill>
    <fill>
      <patternFill patternType="gray0625">
        <fgColor indexed="13"/>
      </patternFill>
    </fill>
    <fill>
      <patternFill patternType="gray125">
        <fgColor indexed="11"/>
      </patternFill>
    </fill>
    <fill>
      <patternFill patternType="gray125">
        <fgColor indexed="15"/>
      </patternFill>
    </fill>
    <fill>
      <patternFill patternType="gray125">
        <fgColor indexed="27"/>
        <bgColor indexed="44"/>
      </patternFill>
    </fill>
    <fill>
      <patternFill patternType="mediumGray">
        <fgColor indexed="41"/>
        <bgColor indexed="19"/>
      </patternFill>
    </fill>
    <fill>
      <patternFill patternType="mediumGray">
        <fgColor indexed="27"/>
        <bgColor indexed="29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13"/>
      </patternFill>
    </fill>
    <fill>
      <patternFill patternType="solid">
        <fgColor indexed="27"/>
        <bgColor indexed="13"/>
      </patternFill>
    </fill>
    <fill>
      <patternFill patternType="mediumGray">
        <fgColor indexed="22"/>
        <bgColor indexed="20"/>
      </patternFill>
    </fill>
    <fill>
      <patternFill patternType="lightGray">
        <fgColor indexed="54"/>
        <bgColor indexed="31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D2736C"/>
        <bgColor indexed="64"/>
      </patternFill>
    </fill>
    <fill>
      <patternFill patternType="solid">
        <fgColor rgb="FFF1D5D3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thick">
        <color indexed="23"/>
      </bottom>
      <diagonal/>
    </border>
    <border>
      <left style="medium">
        <color indexed="17"/>
      </left>
      <right style="medium">
        <color indexed="17"/>
      </right>
      <top style="medium">
        <color indexed="17"/>
      </top>
      <bottom style="medium">
        <color indexed="17"/>
      </bottom>
      <diagonal/>
    </border>
    <border>
      <left style="medium">
        <color indexed="16"/>
      </left>
      <right style="medium">
        <color indexed="16"/>
      </right>
      <top style="medium">
        <color indexed="16"/>
      </top>
      <bottom style="medium">
        <color indexed="16"/>
      </bottom>
      <diagonal/>
    </border>
    <border>
      <left style="medium">
        <color indexed="37"/>
      </left>
      <right style="medium">
        <color indexed="37"/>
      </right>
      <top style="medium">
        <color indexed="37"/>
      </top>
      <bottom/>
      <diagonal/>
    </border>
    <border>
      <left style="medium">
        <color indexed="38"/>
      </left>
      <right style="medium">
        <color indexed="38"/>
      </right>
      <top style="medium">
        <color indexed="38"/>
      </top>
      <bottom style="medium">
        <color indexed="38"/>
      </bottom>
      <diagonal/>
    </border>
    <border>
      <left style="medium">
        <color indexed="38"/>
      </left>
      <right/>
      <top style="medium">
        <color indexed="38"/>
      </top>
      <bottom style="medium">
        <color indexed="38"/>
      </bottom>
      <diagonal/>
    </border>
    <border>
      <left/>
      <right/>
      <top/>
      <bottom style="thin">
        <color indexed="23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2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3">
    <xf numFmtId="0" fontId="0" fillId="0" borderId="0"/>
    <xf numFmtId="0" fontId="2" fillId="0" borderId="0"/>
    <xf numFmtId="0" fontId="17" fillId="6" borderId="10"/>
    <xf numFmtId="1" fontId="18" fillId="7" borderId="10"/>
    <xf numFmtId="0" fontId="19" fillId="8" borderId="0"/>
    <xf numFmtId="0" fontId="20" fillId="9" borderId="0">
      <alignment horizontal="center"/>
    </xf>
    <xf numFmtId="43" fontId="2" fillId="0" borderId="0" applyFont="0" applyFill="0" applyBorder="0" applyAlignment="0" applyProtection="0"/>
    <xf numFmtId="0" fontId="21" fillId="6" borderId="10"/>
    <xf numFmtId="44" fontId="2" fillId="0" borderId="0" applyFont="0" applyFill="0" applyBorder="0" applyAlignment="0" applyProtection="0"/>
    <xf numFmtId="44" fontId="22" fillId="6" borderId="10"/>
    <xf numFmtId="44" fontId="23" fillId="10" borderId="10"/>
    <xf numFmtId="44" fontId="23" fillId="10" borderId="10"/>
    <xf numFmtId="44" fontId="24" fillId="7" borderId="10"/>
    <xf numFmtId="164" fontId="25" fillId="0" borderId="0"/>
    <xf numFmtId="0" fontId="26" fillId="6" borderId="10">
      <alignment horizontal="right"/>
    </xf>
    <xf numFmtId="0" fontId="27" fillId="6" borderId="10">
      <alignment horizontal="right"/>
    </xf>
    <xf numFmtId="8" fontId="18" fillId="11" borderId="11"/>
    <xf numFmtId="0" fontId="28" fillId="12" borderId="12"/>
    <xf numFmtId="0" fontId="27" fillId="12" borderId="12"/>
    <xf numFmtId="0" fontId="29" fillId="12" borderId="13"/>
    <xf numFmtId="1" fontId="26" fillId="6" borderId="10"/>
    <xf numFmtId="1" fontId="17" fillId="6" borderId="10"/>
    <xf numFmtId="1" fontId="30" fillId="10" borderId="10"/>
    <xf numFmtId="1" fontId="24" fillId="7" borderId="10"/>
    <xf numFmtId="0" fontId="31" fillId="12" borderId="13"/>
    <xf numFmtId="0" fontId="32" fillId="12" borderId="13"/>
    <xf numFmtId="0" fontId="33" fillId="12" borderId="13"/>
    <xf numFmtId="0" fontId="34" fillId="0" borderId="0"/>
    <xf numFmtId="2" fontId="30" fillId="6" borderId="10"/>
    <xf numFmtId="0" fontId="2" fillId="0" borderId="0"/>
    <xf numFmtId="0" fontId="2" fillId="0" borderId="0"/>
    <xf numFmtId="0" fontId="35" fillId="0" borderId="0"/>
    <xf numFmtId="165" fontId="36" fillId="6" borderId="10"/>
    <xf numFmtId="10" fontId="36" fillId="6" borderId="10"/>
    <xf numFmtId="166" fontId="18" fillId="7" borderId="10"/>
    <xf numFmtId="167" fontId="36" fillId="6" borderId="10"/>
    <xf numFmtId="10" fontId="17" fillId="6" borderId="10"/>
    <xf numFmtId="10" fontId="24" fillId="7" borderId="10"/>
    <xf numFmtId="9" fontId="18" fillId="11" borderId="11"/>
    <xf numFmtId="9" fontId="36" fillId="6" borderId="10"/>
    <xf numFmtId="9" fontId="24" fillId="7" borderId="10"/>
    <xf numFmtId="44" fontId="28" fillId="13" borderId="10"/>
    <xf numFmtId="0" fontId="30" fillId="14" borderId="14">
      <alignment horizontal="center"/>
    </xf>
    <xf numFmtId="0" fontId="30" fillId="15" borderId="15">
      <alignment horizontal="center"/>
    </xf>
    <xf numFmtId="168" fontId="30" fillId="13" borderId="16" applyBorder="0"/>
    <xf numFmtId="167" fontId="28" fillId="13" borderId="17" applyNumberFormat="0">
      <alignment horizontal="center"/>
    </xf>
    <xf numFmtId="169" fontId="30" fillId="13" borderId="18">
      <alignment horizontal="center"/>
    </xf>
    <xf numFmtId="1" fontId="30" fillId="13" borderId="18">
      <alignment horizontal="center"/>
    </xf>
    <xf numFmtId="0" fontId="30" fillId="10" borderId="10"/>
    <xf numFmtId="1" fontId="30" fillId="10" borderId="10"/>
    <xf numFmtId="17" fontId="37" fillId="16" borderId="0"/>
    <xf numFmtId="12" fontId="30" fillId="17" borderId="10"/>
    <xf numFmtId="12" fontId="30" fillId="18" borderId="10"/>
    <xf numFmtId="0" fontId="38" fillId="12" borderId="19"/>
    <xf numFmtId="0" fontId="39" fillId="19" borderId="0"/>
    <xf numFmtId="0" fontId="37" fillId="20" borderId="0"/>
    <xf numFmtId="164" fontId="25" fillId="0" borderId="20"/>
    <xf numFmtId="0" fontId="30" fillId="6" borderId="10">
      <alignment horizontal="center"/>
    </xf>
    <xf numFmtId="170" fontId="36" fillId="6" borderId="10"/>
    <xf numFmtId="0" fontId="40" fillId="0" borderId="21"/>
    <xf numFmtId="49" fontId="41" fillId="6" borderId="10"/>
    <xf numFmtId="0" fontId="47" fillId="0" borderId="0" applyNumberFormat="0" applyFill="0" applyBorder="0" applyAlignment="0" applyProtection="0">
      <alignment vertical="top"/>
      <protection locked="0"/>
    </xf>
    <xf numFmtId="9" fontId="61" fillId="0" borderId="0" applyFont="0" applyFill="0" applyBorder="0" applyAlignment="0" applyProtection="0"/>
  </cellStyleXfs>
  <cellXfs count="193">
    <xf numFmtId="0" fontId="0" fillId="0" borderId="0" xfId="0"/>
    <xf numFmtId="0" fontId="3" fillId="2" borderId="0" xfId="1" applyFont="1" applyFill="1"/>
    <xf numFmtId="0" fontId="3" fillId="0" borderId="0" xfId="1" applyFont="1"/>
    <xf numFmtId="0" fontId="3" fillId="3" borderId="0" xfId="1" applyFont="1" applyFill="1"/>
    <xf numFmtId="0" fontId="3" fillId="4" borderId="0" xfId="1" applyFont="1" applyFill="1" applyAlignment="1">
      <alignment horizontal="center"/>
    </xf>
    <xf numFmtId="0" fontId="3" fillId="4" borderId="0" xfId="1" applyFont="1" applyFill="1"/>
    <xf numFmtId="0" fontId="4" fillId="3" borderId="0" xfId="0" applyFont="1" applyFill="1"/>
    <xf numFmtId="0" fontId="3" fillId="2" borderId="0" xfId="1" applyFont="1" applyFill="1" applyAlignment="1">
      <alignment horizontal="center"/>
    </xf>
    <xf numFmtId="0" fontId="5" fillId="0" borderId="1" xfId="0" applyFont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6" fillId="0" borderId="0" xfId="1" applyFont="1"/>
    <xf numFmtId="0" fontId="8" fillId="2" borderId="0" xfId="1" applyFont="1" applyFill="1"/>
    <xf numFmtId="0" fontId="9" fillId="0" borderId="0" xfId="1" applyFont="1"/>
    <xf numFmtId="0" fontId="10" fillId="2" borderId="0" xfId="1" applyFont="1" applyFill="1"/>
    <xf numFmtId="0" fontId="11" fillId="2" borderId="0" xfId="1" applyFont="1" applyFill="1"/>
    <xf numFmtId="0" fontId="12" fillId="2" borderId="0" xfId="1" applyFont="1" applyFill="1"/>
    <xf numFmtId="0" fontId="13" fillId="2" borderId="0" xfId="1" applyFont="1" applyFill="1"/>
    <xf numFmtId="0" fontId="15" fillId="2" borderId="4" xfId="1" applyFont="1" applyFill="1" applyBorder="1" applyAlignment="1">
      <alignment horizontal="center"/>
    </xf>
    <xf numFmtId="0" fontId="15" fillId="2" borderId="5" xfId="1" applyFont="1" applyFill="1" applyBorder="1" applyAlignment="1">
      <alignment horizontal="center"/>
    </xf>
    <xf numFmtId="0" fontId="15" fillId="2" borderId="6" xfId="1" applyFont="1" applyFill="1" applyBorder="1" applyAlignment="1">
      <alignment horizontal="center"/>
    </xf>
    <xf numFmtId="0" fontId="15" fillId="2" borderId="7" xfId="1" applyFont="1" applyFill="1" applyBorder="1" applyAlignment="1">
      <alignment horizontal="center"/>
    </xf>
    <xf numFmtId="0" fontId="15" fillId="2" borderId="8" xfId="1" applyFont="1" applyFill="1" applyBorder="1" applyAlignment="1">
      <alignment horizontal="center"/>
    </xf>
    <xf numFmtId="0" fontId="15" fillId="2" borderId="9" xfId="1" applyFont="1" applyFill="1" applyBorder="1" applyAlignment="1">
      <alignment horizontal="center"/>
    </xf>
    <xf numFmtId="0" fontId="16" fillId="2" borderId="8" xfId="1" applyFont="1" applyFill="1" applyBorder="1" applyAlignment="1">
      <alignment horizontal="center"/>
    </xf>
    <xf numFmtId="0" fontId="16" fillId="2" borderId="9" xfId="1" applyFont="1" applyFill="1" applyBorder="1" applyAlignment="1">
      <alignment horizontal="center"/>
    </xf>
    <xf numFmtId="0" fontId="28" fillId="0" borderId="22" xfId="0" applyFont="1" applyBorder="1" applyProtection="1">
      <protection locked="0"/>
    </xf>
    <xf numFmtId="0" fontId="28" fillId="0" borderId="23" xfId="0" applyFont="1" applyBorder="1" applyAlignment="1" applyProtection="1">
      <alignment horizontal="right"/>
      <protection locked="0"/>
    </xf>
    <xf numFmtId="0" fontId="28" fillId="0" borderId="24" xfId="0" applyFont="1" applyBorder="1" applyAlignment="1" applyProtection="1">
      <alignment horizontal="left"/>
      <protection locked="0"/>
    </xf>
    <xf numFmtId="0" fontId="0" fillId="0" borderId="25" xfId="0" applyBorder="1" applyProtection="1">
      <protection locked="0"/>
    </xf>
    <xf numFmtId="0" fontId="0" fillId="0" borderId="26" xfId="0" applyBorder="1" applyProtection="1">
      <protection locked="0"/>
    </xf>
    <xf numFmtId="0" fontId="0" fillId="0" borderId="27" xfId="0" applyBorder="1" applyProtection="1">
      <protection locked="0"/>
    </xf>
    <xf numFmtId="0" fontId="0" fillId="0" borderId="29" xfId="0" applyBorder="1" applyProtection="1">
      <protection locked="0"/>
    </xf>
    <xf numFmtId="0" fontId="28" fillId="21" borderId="30" xfId="0" applyFont="1" applyFill="1" applyBorder="1" applyAlignment="1" applyProtection="1">
      <alignment horizontal="center" vertical="center" wrapText="1"/>
      <protection locked="0"/>
    </xf>
    <xf numFmtId="0" fontId="28" fillId="0" borderId="30" xfId="0" applyFont="1" applyBorder="1" applyAlignment="1" applyProtection="1">
      <alignment horizontal="center" vertical="center" wrapText="1"/>
      <protection locked="0"/>
    </xf>
    <xf numFmtId="0" fontId="28" fillId="0" borderId="34" xfId="0" applyFont="1" applyBorder="1" applyAlignment="1" applyProtection="1">
      <alignment horizontal="center" vertical="center" wrapText="1"/>
      <protection locked="0"/>
    </xf>
    <xf numFmtId="0" fontId="28" fillId="0" borderId="35" xfId="0" applyFont="1" applyBorder="1" applyAlignment="1" applyProtection="1">
      <alignment horizontal="center" vertical="center" wrapText="1"/>
      <protection locked="0"/>
    </xf>
    <xf numFmtId="0" fontId="28" fillId="0" borderId="36" xfId="0" applyFont="1" applyBorder="1" applyAlignment="1" applyProtection="1">
      <alignment horizontal="center" vertical="center" wrapText="1"/>
      <protection locked="0"/>
    </xf>
    <xf numFmtId="0" fontId="28" fillId="0" borderId="29" xfId="0" applyFont="1" applyBorder="1" applyAlignment="1" applyProtection="1">
      <alignment horizontal="center" vertical="center" wrapText="1"/>
      <protection locked="0"/>
    </xf>
    <xf numFmtId="0" fontId="2" fillId="0" borderId="37" xfId="0" applyFont="1" applyBorder="1" applyAlignment="1" applyProtection="1">
      <alignment horizontal="left" vertical="center"/>
      <protection locked="0"/>
    </xf>
    <xf numFmtId="0" fontId="2" fillId="21" borderId="37" xfId="0" applyFont="1" applyFill="1" applyBorder="1" applyAlignment="1" applyProtection="1">
      <alignment horizontal="left" vertical="center" wrapText="1"/>
      <protection locked="0"/>
    </xf>
    <xf numFmtId="0" fontId="2" fillId="0" borderId="25" xfId="0" applyFont="1" applyBorder="1" applyAlignment="1" applyProtection="1">
      <alignment vertical="center" wrapText="1"/>
      <protection locked="0"/>
    </xf>
    <xf numFmtId="0" fontId="2" fillId="21" borderId="25" xfId="0" applyFont="1" applyFill="1" applyBorder="1" applyAlignment="1" applyProtection="1">
      <alignment horizontal="left" vertical="center" wrapText="1"/>
      <protection locked="0"/>
    </xf>
    <xf numFmtId="0" fontId="2" fillId="0" borderId="25" xfId="0" applyFont="1" applyBorder="1" applyAlignment="1" applyProtection="1">
      <alignment horizontal="left" vertical="center"/>
      <protection locked="0"/>
    </xf>
    <xf numFmtId="0" fontId="2" fillId="0" borderId="25" xfId="0" applyFont="1" applyBorder="1" applyAlignment="1" applyProtection="1">
      <alignment horizontal="left" vertical="center" wrapText="1"/>
      <protection locked="0"/>
    </xf>
    <xf numFmtId="0" fontId="28" fillId="22" borderId="42" xfId="0" applyFont="1" applyFill="1" applyBorder="1" applyProtection="1">
      <protection locked="0"/>
    </xf>
    <xf numFmtId="0" fontId="0" fillId="0" borderId="0" xfId="0" applyAlignment="1">
      <alignment vertical="center"/>
    </xf>
    <xf numFmtId="0" fontId="42" fillId="0" borderId="0" xfId="0" applyFont="1" applyAlignment="1">
      <alignment vertical="center"/>
    </xf>
    <xf numFmtId="6" fontId="42" fillId="0" borderId="0" xfId="0" applyNumberFormat="1" applyFont="1" applyAlignment="1">
      <alignment vertical="center"/>
    </xf>
    <xf numFmtId="0" fontId="1" fillId="2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42" fillId="0" borderId="0" xfId="0" applyNumberFormat="1" applyFont="1" applyAlignment="1">
      <alignment vertical="center"/>
    </xf>
    <xf numFmtId="0" fontId="44" fillId="0" borderId="0" xfId="0" applyFont="1"/>
    <xf numFmtId="0" fontId="42" fillId="0" borderId="0" xfId="0" applyFont="1"/>
    <xf numFmtId="0" fontId="45" fillId="0" borderId="0" xfId="0" applyFont="1" applyAlignment="1">
      <alignment horizontal="left" indent="2"/>
    </xf>
    <xf numFmtId="0" fontId="45" fillId="0" borderId="0" xfId="0" applyFont="1"/>
    <xf numFmtId="0" fontId="46" fillId="21" borderId="45" xfId="0" applyFont="1" applyFill="1" applyBorder="1" applyAlignment="1">
      <alignment horizontal="center" vertical="center" wrapText="1"/>
    </xf>
    <xf numFmtId="0" fontId="45" fillId="0" borderId="47" xfId="0" applyFont="1" applyBorder="1" applyAlignment="1">
      <alignment horizontal="center" vertical="top" wrapText="1"/>
    </xf>
    <xf numFmtId="0" fontId="45" fillId="0" borderId="48" xfId="0" applyFont="1" applyBorder="1" applyAlignment="1">
      <alignment horizontal="center" vertical="top" wrapText="1"/>
    </xf>
    <xf numFmtId="0" fontId="45" fillId="0" borderId="49" xfId="0" applyFont="1" applyBorder="1" applyAlignment="1">
      <alignment horizontal="center" vertical="top" wrapText="1"/>
    </xf>
    <xf numFmtId="0" fontId="45" fillId="0" borderId="50" xfId="0" applyFont="1" applyBorder="1" applyAlignment="1">
      <alignment horizontal="center" vertical="top" wrapText="1"/>
    </xf>
    <xf numFmtId="0" fontId="45" fillId="0" borderId="51" xfId="0" applyFont="1" applyBorder="1" applyAlignment="1">
      <alignment horizontal="center" vertical="top" wrapText="1"/>
    </xf>
    <xf numFmtId="0" fontId="45" fillId="0" borderId="52" xfId="0" applyFont="1" applyBorder="1" applyAlignment="1">
      <alignment horizontal="center" vertical="top" wrapText="1"/>
    </xf>
    <xf numFmtId="0" fontId="47" fillId="0" borderId="0" xfId="61" applyAlignment="1" applyProtection="1"/>
    <xf numFmtId="0" fontId="48" fillId="0" borderId="0" xfId="0" applyFont="1"/>
    <xf numFmtId="0" fontId="48" fillId="0" borderId="61" xfId="0" applyFont="1" applyBorder="1"/>
    <xf numFmtId="0" fontId="48" fillId="28" borderId="53" xfId="0" applyFont="1" applyFill="1" applyBorder="1"/>
    <xf numFmtId="0" fontId="48" fillId="28" borderId="54" xfId="0" applyFont="1" applyFill="1" applyBorder="1"/>
    <xf numFmtId="0" fontId="48" fillId="28" borderId="55" xfId="0" applyFont="1" applyFill="1" applyBorder="1"/>
    <xf numFmtId="0" fontId="48" fillId="28" borderId="56" xfId="0" applyFont="1" applyFill="1" applyBorder="1"/>
    <xf numFmtId="0" fontId="48" fillId="28" borderId="0" xfId="0" applyFont="1" applyFill="1"/>
    <xf numFmtId="0" fontId="48" fillId="28" borderId="57" xfId="0" applyFont="1" applyFill="1" applyBorder="1"/>
    <xf numFmtId="0" fontId="48" fillId="28" borderId="58" xfId="0" applyFont="1" applyFill="1" applyBorder="1"/>
    <xf numFmtId="0" fontId="48" fillId="28" borderId="59" xfId="0" applyFont="1" applyFill="1" applyBorder="1"/>
    <xf numFmtId="0" fontId="48" fillId="28" borderId="60" xfId="0" applyFont="1" applyFill="1" applyBorder="1"/>
    <xf numFmtId="0" fontId="50" fillId="29" borderId="61" xfId="0" applyFont="1" applyFill="1" applyBorder="1"/>
    <xf numFmtId="0" fontId="51" fillId="0" borderId="0" xfId="0" applyFont="1"/>
    <xf numFmtId="0" fontId="52" fillId="30" borderId="62" xfId="0" applyFont="1" applyFill="1" applyBorder="1"/>
    <xf numFmtId="0" fontId="53" fillId="0" borderId="63" xfId="0" applyFont="1" applyBorder="1"/>
    <xf numFmtId="0" fontId="53" fillId="0" borderId="0" xfId="0" applyFont="1"/>
    <xf numFmtId="0" fontId="51" fillId="0" borderId="62" xfId="0" applyFont="1" applyBorder="1"/>
    <xf numFmtId="0" fontId="53" fillId="0" borderId="0" xfId="0" quotePrefix="1" applyFont="1"/>
    <xf numFmtId="0" fontId="51" fillId="24" borderId="64" xfId="0" applyFont="1" applyFill="1" applyBorder="1" applyAlignment="1">
      <alignment horizontal="center" vertical="center"/>
    </xf>
    <xf numFmtId="0" fontId="53" fillId="24" borderId="65" xfId="0" applyFont="1" applyFill="1" applyBorder="1"/>
    <xf numFmtId="0" fontId="53" fillId="24" borderId="66" xfId="0" applyFont="1" applyFill="1" applyBorder="1"/>
    <xf numFmtId="0" fontId="51" fillId="31" borderId="64" xfId="0" applyFont="1" applyFill="1" applyBorder="1" applyAlignment="1">
      <alignment horizontal="center" vertical="center"/>
    </xf>
    <xf numFmtId="0" fontId="53" fillId="31" borderId="65" xfId="0" applyFont="1" applyFill="1" applyBorder="1" applyAlignment="1">
      <alignment horizontal="left" vertical="center"/>
    </xf>
    <xf numFmtId="0" fontId="53" fillId="31" borderId="65" xfId="0" applyFont="1" applyFill="1" applyBorder="1"/>
    <xf numFmtId="0" fontId="53" fillId="31" borderId="66" xfId="0" applyFont="1" applyFill="1" applyBorder="1"/>
    <xf numFmtId="0" fontId="51" fillId="24" borderId="67" xfId="0" applyFont="1" applyFill="1" applyBorder="1" applyAlignment="1">
      <alignment horizontal="center" vertical="center"/>
    </xf>
    <xf numFmtId="0" fontId="51" fillId="24" borderId="70" xfId="0" applyFont="1" applyFill="1" applyBorder="1" applyAlignment="1">
      <alignment horizontal="center" vertical="center"/>
    </xf>
    <xf numFmtId="0" fontId="51" fillId="24" borderId="72" xfId="0" applyFont="1" applyFill="1" applyBorder="1" applyAlignment="1">
      <alignment horizontal="center" vertical="center"/>
    </xf>
    <xf numFmtId="0" fontId="55" fillId="26" borderId="74" xfId="0" applyFont="1" applyFill="1" applyBorder="1" applyAlignment="1">
      <alignment horizontal="centerContinuous" wrapText="1"/>
    </xf>
    <xf numFmtId="0" fontId="55" fillId="26" borderId="75" xfId="0" applyFont="1" applyFill="1" applyBorder="1" applyAlignment="1">
      <alignment horizontal="centerContinuous" wrapText="1"/>
    </xf>
    <xf numFmtId="0" fontId="55" fillId="26" borderId="76" xfId="0" applyFont="1" applyFill="1" applyBorder="1" applyAlignment="1">
      <alignment horizontal="centerContinuous" wrapText="1"/>
    </xf>
    <xf numFmtId="0" fontId="55" fillId="26" borderId="77" xfId="0" applyFont="1" applyFill="1" applyBorder="1" applyAlignment="1">
      <alignment horizontal="centerContinuous" wrapText="1"/>
    </xf>
    <xf numFmtId="0" fontId="48" fillId="32" borderId="61" xfId="0" applyFont="1" applyFill="1" applyBorder="1"/>
    <xf numFmtId="0" fontId="50" fillId="32" borderId="61" xfId="0" applyFont="1" applyFill="1" applyBorder="1" applyAlignment="1">
      <alignment horizontal="center" vertical="center"/>
    </xf>
    <xf numFmtId="0" fontId="51" fillId="33" borderId="53" xfId="0" applyFont="1" applyFill="1" applyBorder="1"/>
    <xf numFmtId="0" fontId="51" fillId="33" borderId="54" xfId="0" applyFont="1" applyFill="1" applyBorder="1"/>
    <xf numFmtId="0" fontId="51" fillId="33" borderId="55" xfId="0" applyFont="1" applyFill="1" applyBorder="1"/>
    <xf numFmtId="0" fontId="51" fillId="33" borderId="58" xfId="0" applyFont="1" applyFill="1" applyBorder="1"/>
    <xf numFmtId="0" fontId="51" fillId="33" borderId="59" xfId="0" applyFont="1" applyFill="1" applyBorder="1"/>
    <xf numFmtId="0" fontId="51" fillId="33" borderId="60" xfId="0" applyFont="1" applyFill="1" applyBorder="1"/>
    <xf numFmtId="0" fontId="52" fillId="34" borderId="61" xfId="0" applyFont="1" applyFill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1" fillId="0" borderId="61" xfId="0" applyFont="1" applyBorder="1"/>
    <xf numFmtId="0" fontId="56" fillId="26" borderId="1" xfId="0" applyFont="1" applyFill="1" applyBorder="1" applyAlignment="1">
      <alignment horizontal="center"/>
    </xf>
    <xf numFmtId="0" fontId="57" fillId="0" borderId="1" xfId="0" applyFont="1" applyBorder="1"/>
    <xf numFmtId="0" fontId="57" fillId="35" borderId="1" xfId="0" applyFont="1" applyFill="1" applyBorder="1"/>
    <xf numFmtId="0" fontId="57" fillId="26" borderId="1" xfId="0" applyFont="1" applyFill="1" applyBorder="1" applyAlignment="1">
      <alignment horizontal="center"/>
    </xf>
    <xf numFmtId="0" fontId="57" fillId="36" borderId="1" xfId="0" applyFont="1" applyFill="1" applyBorder="1"/>
    <xf numFmtId="0" fontId="48" fillId="0" borderId="1" xfId="0" applyFont="1" applyBorder="1" applyAlignment="1">
      <alignment horizontal="center"/>
    </xf>
    <xf numFmtId="172" fontId="48" fillId="0" borderId="1" xfId="0" applyNumberFormat="1" applyFont="1" applyBorder="1"/>
    <xf numFmtId="0" fontId="56" fillId="0" borderId="0" xfId="0" applyFont="1"/>
    <xf numFmtId="0" fontId="57" fillId="37" borderId="1" xfId="0" applyFont="1" applyFill="1" applyBorder="1"/>
    <xf numFmtId="0" fontId="58" fillId="38" borderId="53" xfId="0" applyFont="1" applyFill="1" applyBorder="1" applyAlignment="1">
      <alignment vertical="center"/>
    </xf>
    <xf numFmtId="0" fontId="58" fillId="38" borderId="54" xfId="0" applyFont="1" applyFill="1" applyBorder="1"/>
    <xf numFmtId="0" fontId="58" fillId="38" borderId="55" xfId="0" applyFont="1" applyFill="1" applyBorder="1"/>
    <xf numFmtId="0" fontId="58" fillId="38" borderId="58" xfId="0" applyFont="1" applyFill="1" applyBorder="1" applyAlignment="1">
      <alignment vertical="center"/>
    </xf>
    <xf numFmtId="0" fontId="58" fillId="38" borderId="59" xfId="0" applyFont="1" applyFill="1" applyBorder="1"/>
    <xf numFmtId="0" fontId="58" fillId="38" borderId="60" xfId="0" applyFont="1" applyFill="1" applyBorder="1"/>
    <xf numFmtId="0" fontId="59" fillId="39" borderId="61" xfId="0" applyFont="1" applyFill="1" applyBorder="1" applyAlignment="1">
      <alignment horizontal="center" vertical="center"/>
    </xf>
    <xf numFmtId="0" fontId="48" fillId="0" borderId="0" xfId="0" applyFont="1" applyAlignment="1">
      <alignment vertical="center"/>
    </xf>
    <xf numFmtId="0" fontId="60" fillId="0" borderId="61" xfId="0" applyFont="1" applyBorder="1"/>
    <xf numFmtId="0" fontId="48" fillId="36" borderId="1" xfId="0" applyFont="1" applyFill="1" applyBorder="1"/>
    <xf numFmtId="0" fontId="42" fillId="24" borderId="1" xfId="0" applyFont="1" applyFill="1" applyBorder="1" applyAlignment="1">
      <alignment horizontal="right" vertical="center"/>
    </xf>
    <xf numFmtId="0" fontId="42" fillId="24" borderId="1" xfId="0" applyFont="1" applyFill="1" applyBorder="1" applyAlignment="1">
      <alignment vertical="center"/>
    </xf>
    <xf numFmtId="8" fontId="43" fillId="24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top" wrapText="1"/>
    </xf>
    <xf numFmtId="0" fontId="44" fillId="21" borderId="61" xfId="0" applyFont="1" applyFill="1" applyBorder="1" applyAlignment="1">
      <alignment horizontal="center" vertical="center" wrapText="1"/>
    </xf>
    <xf numFmtId="0" fontId="42" fillId="0" borderId="61" xfId="0" applyFont="1" applyBorder="1" applyAlignment="1">
      <alignment horizontal="center" vertical="top" wrapText="1"/>
    </xf>
    <xf numFmtId="0" fontId="48" fillId="27" borderId="9" xfId="0" applyFont="1" applyFill="1" applyBorder="1" applyAlignment="1">
      <alignment horizontal="center" vertical="center"/>
    </xf>
    <xf numFmtId="171" fontId="2" fillId="0" borderId="9" xfId="6" applyNumberFormat="1" applyFont="1" applyFill="1" applyBorder="1" applyAlignment="1" applyProtection="1">
      <alignment horizontal="left" vertical="center"/>
      <protection locked="0"/>
    </xf>
    <xf numFmtId="171" fontId="2" fillId="21" borderId="3" xfId="6" applyNumberFormat="1" applyFont="1" applyFill="1" applyBorder="1" applyAlignment="1" applyProtection="1">
      <alignment horizontal="left" vertical="center" wrapText="1"/>
      <protection locked="0"/>
    </xf>
    <xf numFmtId="171" fontId="2" fillId="0" borderId="3" xfId="6" applyNumberFormat="1" applyFont="1" applyFill="1" applyBorder="1" applyAlignment="1" applyProtection="1">
      <alignment horizontal="left" vertical="center"/>
      <protection locked="0"/>
    </xf>
    <xf numFmtId="171" fontId="2" fillId="21" borderId="3" xfId="6" applyNumberFormat="1" applyFont="1" applyFill="1" applyBorder="1" applyAlignment="1" applyProtection="1">
      <alignment horizontal="left" vertical="center"/>
      <protection locked="0"/>
    </xf>
    <xf numFmtId="0" fontId="51" fillId="0" borderId="61" xfId="0" applyFont="1" applyBorder="1" applyAlignment="1">
      <alignment horizontal="left"/>
    </xf>
    <xf numFmtId="0" fontId="59" fillId="39" borderId="0" xfId="0" applyFont="1" applyFill="1" applyAlignment="1">
      <alignment horizontal="left" vertical="center"/>
    </xf>
    <xf numFmtId="171" fontId="0" fillId="22" borderId="43" xfId="0" applyNumberFormat="1" applyFill="1" applyBorder="1" applyProtection="1">
      <protection locked="0"/>
    </xf>
    <xf numFmtId="0" fontId="43" fillId="25" borderId="1" xfId="0" applyFont="1" applyFill="1" applyBorder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0" fillId="0" borderId="1" xfId="0" applyBorder="1" applyAlignment="1" applyProtection="1">
      <alignment horizontal="center"/>
      <protection locked="0"/>
    </xf>
    <xf numFmtId="0" fontId="0" fillId="0" borderId="28" xfId="0" applyBorder="1" applyAlignment="1" applyProtection="1">
      <alignment horizontal="center"/>
      <protection locked="0"/>
    </xf>
    <xf numFmtId="9" fontId="2" fillId="0" borderId="38" xfId="62" applyFont="1" applyFill="1" applyBorder="1" applyAlignment="1" applyProtection="1">
      <alignment horizontal="center" vertical="center"/>
      <protection locked="0"/>
    </xf>
    <xf numFmtId="3" fontId="2" fillId="0" borderId="39" xfId="6" applyNumberFormat="1" applyFont="1" applyFill="1" applyBorder="1" applyAlignment="1" applyProtection="1">
      <alignment horizontal="center" vertical="center"/>
      <protection locked="0"/>
    </xf>
    <xf numFmtId="3" fontId="2" fillId="21" borderId="41" xfId="6" applyNumberFormat="1" applyFont="1" applyFill="1" applyBorder="1" applyAlignment="1" applyProtection="1">
      <alignment horizontal="center" vertical="center"/>
      <protection locked="0"/>
    </xf>
    <xf numFmtId="3" fontId="2" fillId="0" borderId="41" xfId="6" applyNumberFormat="1" applyFont="1" applyFill="1" applyBorder="1" applyAlignment="1" applyProtection="1">
      <alignment horizontal="center" vertical="center"/>
      <protection locked="0"/>
    </xf>
    <xf numFmtId="3" fontId="2" fillId="21" borderId="26" xfId="6" applyNumberFormat="1" applyFont="1" applyFill="1" applyBorder="1" applyAlignment="1" applyProtection="1">
      <alignment horizontal="center" vertical="center"/>
      <protection locked="0"/>
    </xf>
    <xf numFmtId="4" fontId="2" fillId="0" borderId="39" xfId="6" applyNumberFormat="1" applyFont="1" applyFill="1" applyBorder="1" applyAlignment="1" applyProtection="1">
      <alignment horizontal="center" vertical="center"/>
      <protection locked="0"/>
    </xf>
    <xf numFmtId="4" fontId="0" fillId="23" borderId="46" xfId="0" applyNumberFormat="1" applyFill="1" applyBorder="1" applyAlignment="1" applyProtection="1">
      <alignment horizontal="center"/>
      <protection locked="0"/>
    </xf>
    <xf numFmtId="0" fontId="42" fillId="0" borderId="1" xfId="0" applyFont="1" applyBorder="1" applyAlignment="1">
      <alignment horizontal="left" vertical="center"/>
    </xf>
    <xf numFmtId="0" fontId="43" fillId="2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9" fontId="0" fillId="22" borderId="44" xfId="0" quotePrefix="1" applyNumberFormat="1" applyFill="1" applyBorder="1" applyAlignment="1" applyProtection="1">
      <alignment horizontal="center"/>
      <protection locked="0"/>
    </xf>
    <xf numFmtId="2" fontId="0" fillId="22" borderId="44" xfId="0" applyNumberFormat="1" applyFill="1" applyBorder="1" applyProtection="1">
      <protection locked="0"/>
    </xf>
    <xf numFmtId="3" fontId="0" fillId="22" borderId="45" xfId="0" applyNumberFormat="1" applyFill="1" applyBorder="1" applyProtection="1">
      <protection locked="0"/>
    </xf>
    <xf numFmtId="0" fontId="62" fillId="0" borderId="0" xfId="0" applyFont="1" applyAlignment="1">
      <alignment vertical="center"/>
    </xf>
    <xf numFmtId="0" fontId="0" fillId="0" borderId="38" xfId="0" applyBorder="1" applyAlignment="1">
      <alignment vertical="center"/>
    </xf>
    <xf numFmtId="0" fontId="42" fillId="0" borderId="2" xfId="0" applyFont="1" applyBorder="1" applyAlignment="1">
      <alignment horizontal="left" vertical="center"/>
    </xf>
    <xf numFmtId="0" fontId="42" fillId="0" borderId="1" xfId="0" applyFont="1" applyBorder="1" applyAlignment="1">
      <alignment vertical="center"/>
    </xf>
    <xf numFmtId="43" fontId="2" fillId="0" borderId="39" xfId="62" applyNumberFormat="1" applyFont="1" applyFill="1" applyBorder="1" applyAlignment="1" applyProtection="1">
      <alignment horizontal="center" vertical="center"/>
      <protection locked="0"/>
    </xf>
    <xf numFmtId="0" fontId="14" fillId="2" borderId="2" xfId="1" applyFont="1" applyFill="1" applyBorder="1" applyAlignment="1">
      <alignment horizontal="center"/>
    </xf>
    <xf numFmtId="0" fontId="14" fillId="2" borderId="3" xfId="1" applyFont="1" applyFill="1" applyBorder="1" applyAlignment="1">
      <alignment horizontal="center"/>
    </xf>
    <xf numFmtId="0" fontId="28" fillId="0" borderId="31" xfId="0" applyFont="1" applyBorder="1" applyAlignment="1" applyProtection="1">
      <alignment horizontal="center" vertical="center"/>
      <protection locked="0"/>
    </xf>
    <xf numFmtId="0" fontId="28" fillId="0" borderId="32" xfId="0" applyFont="1" applyBorder="1" applyAlignment="1" applyProtection="1">
      <alignment horizontal="center" vertical="center"/>
      <protection locked="0"/>
    </xf>
    <xf numFmtId="0" fontId="28" fillId="0" borderId="33" xfId="0" applyFont="1" applyBorder="1" applyAlignment="1" applyProtection="1">
      <alignment horizontal="center" vertical="center"/>
      <protection locked="0"/>
    </xf>
    <xf numFmtId="0" fontId="1" fillId="36" borderId="2" xfId="0" applyFont="1" applyFill="1" applyBorder="1" applyAlignment="1">
      <alignment horizontal="left"/>
    </xf>
    <xf numFmtId="0" fontId="1" fillId="36" borderId="40" xfId="0" applyFont="1" applyFill="1" applyBorder="1" applyAlignment="1">
      <alignment horizontal="left"/>
    </xf>
    <xf numFmtId="0" fontId="1" fillId="36" borderId="3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36" borderId="78" xfId="0" applyFont="1" applyFill="1" applyBorder="1" applyAlignment="1" applyProtection="1">
      <alignment horizontal="center" vertical="center"/>
      <protection locked="0"/>
    </xf>
    <xf numFmtId="0" fontId="1" fillId="36" borderId="79" xfId="0" applyFont="1" applyFill="1" applyBorder="1" applyAlignment="1" applyProtection="1">
      <alignment horizontal="center" vertical="center"/>
      <protection locked="0"/>
    </xf>
    <xf numFmtId="0" fontId="1" fillId="36" borderId="80" xfId="0" applyFont="1" applyFill="1" applyBorder="1" applyAlignment="1" applyProtection="1">
      <alignment horizontal="center" vertical="center"/>
      <protection locked="0"/>
    </xf>
    <xf numFmtId="0" fontId="1" fillId="36" borderId="0" xfId="0" applyFont="1" applyFill="1" applyAlignment="1">
      <alignment horizontal="center" vertical="center" wrapText="1"/>
    </xf>
    <xf numFmtId="0" fontId="53" fillId="24" borderId="68" xfId="0" applyFont="1" applyFill="1" applyBorder="1" applyAlignment="1">
      <alignment horizontal="left" wrapText="1"/>
    </xf>
    <xf numFmtId="0" fontId="53" fillId="24" borderId="69" xfId="0" applyFont="1" applyFill="1" applyBorder="1" applyAlignment="1">
      <alignment horizontal="left" wrapText="1"/>
    </xf>
    <xf numFmtId="0" fontId="53" fillId="24" borderId="0" xfId="0" applyFont="1" applyFill="1" applyAlignment="1">
      <alignment horizontal="left" wrapText="1"/>
    </xf>
    <xf numFmtId="0" fontId="53" fillId="24" borderId="71" xfId="0" applyFont="1" applyFill="1" applyBorder="1" applyAlignment="1">
      <alignment horizontal="left" wrapText="1"/>
    </xf>
    <xf numFmtId="0" fontId="53" fillId="24" borderId="63" xfId="0" applyFont="1" applyFill="1" applyBorder="1" applyAlignment="1">
      <alignment horizontal="left" wrapText="1"/>
    </xf>
    <xf numFmtId="0" fontId="53" fillId="24" borderId="73" xfId="0" applyFont="1" applyFill="1" applyBorder="1" applyAlignment="1">
      <alignment horizontal="left" wrapText="1"/>
    </xf>
    <xf numFmtId="0" fontId="53" fillId="24" borderId="68" xfId="0" applyFont="1" applyFill="1" applyBorder="1" applyAlignment="1">
      <alignment horizontal="left" vertical="top" wrapText="1"/>
    </xf>
    <xf numFmtId="0" fontId="53" fillId="24" borderId="69" xfId="0" applyFont="1" applyFill="1" applyBorder="1" applyAlignment="1">
      <alignment horizontal="left" vertical="top" wrapText="1"/>
    </xf>
    <xf numFmtId="0" fontId="53" fillId="24" borderId="0" xfId="0" applyFont="1" applyFill="1" applyAlignment="1">
      <alignment horizontal="left" vertical="top" wrapText="1"/>
    </xf>
    <xf numFmtId="0" fontId="53" fillId="24" borderId="71" xfId="0" applyFont="1" applyFill="1" applyBorder="1" applyAlignment="1">
      <alignment horizontal="left" vertical="top" wrapText="1"/>
    </xf>
    <xf numFmtId="0" fontId="53" fillId="24" borderId="63" xfId="0" applyFont="1" applyFill="1" applyBorder="1" applyAlignment="1">
      <alignment horizontal="left" vertical="top" wrapText="1"/>
    </xf>
    <xf numFmtId="0" fontId="53" fillId="24" borderId="73" xfId="0" applyFont="1" applyFill="1" applyBorder="1" applyAlignment="1">
      <alignment horizontal="left" vertical="top" wrapText="1"/>
    </xf>
    <xf numFmtId="0" fontId="63" fillId="36" borderId="0" xfId="0" applyFont="1" applyFill="1" applyAlignment="1">
      <alignment horizontal="left" vertical="center"/>
    </xf>
    <xf numFmtId="0" fontId="56" fillId="28" borderId="2" xfId="0" applyFont="1" applyFill="1" applyBorder="1" applyAlignment="1">
      <alignment horizontal="center" vertical="center"/>
    </xf>
    <xf numFmtId="0" fontId="56" fillId="28" borderId="40" xfId="0" applyFont="1" applyFill="1" applyBorder="1" applyAlignment="1">
      <alignment horizontal="center" vertical="center"/>
    </xf>
    <xf numFmtId="0" fontId="56" fillId="28" borderId="3" xfId="0" applyFont="1" applyFill="1" applyBorder="1" applyAlignment="1">
      <alignment horizontal="center" vertical="center"/>
    </xf>
  </cellXfs>
  <cellStyles count="63">
    <cellStyle name="AmountReference" xfId="2" xr:uid="{00000000-0005-0000-0000-000000000000}"/>
    <cellStyle name="AmountVariable" xfId="3" xr:uid="{00000000-0005-0000-0000-000001000000}"/>
    <cellStyle name="Co Name" xfId="4" xr:uid="{00000000-0005-0000-0000-000002000000}"/>
    <cellStyle name="Column Labels" xfId="5" xr:uid="{00000000-0005-0000-0000-000003000000}"/>
    <cellStyle name="Comma 2" xfId="6" xr:uid="{00000000-0005-0000-0000-000004000000}"/>
    <cellStyle name="Condensed" xfId="7" xr:uid="{00000000-0005-0000-0000-000005000000}"/>
    <cellStyle name="Currency 2" xfId="8" xr:uid="{00000000-0005-0000-0000-000006000000}"/>
    <cellStyle name="CurrencyReference" xfId="9" xr:uid="{00000000-0005-0000-0000-000007000000}"/>
    <cellStyle name="CurrencyResult" xfId="10" xr:uid="{00000000-0005-0000-0000-000008000000}"/>
    <cellStyle name="CurrencyResultCondensed" xfId="11" xr:uid="{00000000-0005-0000-0000-000009000000}"/>
    <cellStyle name="CurrencyVariable" xfId="12" xr:uid="{00000000-0005-0000-0000-00000A000000}"/>
    <cellStyle name="Data" xfId="13" xr:uid="{00000000-0005-0000-0000-00000B000000}"/>
    <cellStyle name="Description" xfId="14" xr:uid="{00000000-0005-0000-0000-00000C000000}"/>
    <cellStyle name="DescriptionCondensed" xfId="15" xr:uid="{00000000-0005-0000-0000-00000D000000}"/>
    <cellStyle name="Estimate" xfId="16" xr:uid="{00000000-0005-0000-0000-00000E000000}"/>
    <cellStyle name="FieldName" xfId="17" xr:uid="{00000000-0005-0000-0000-00000F000000}"/>
    <cellStyle name="FieldNameCondensed" xfId="18" xr:uid="{00000000-0005-0000-0000-000010000000}"/>
    <cellStyle name="Hyperlink" xfId="61" builtinId="8"/>
    <cellStyle name="Impact" xfId="19" xr:uid="{00000000-0005-0000-0000-000012000000}"/>
    <cellStyle name="Integer" xfId="20" xr:uid="{00000000-0005-0000-0000-000013000000}"/>
    <cellStyle name="IntegerReference" xfId="21" xr:uid="{00000000-0005-0000-0000-000014000000}"/>
    <cellStyle name="IntegerResult" xfId="22" xr:uid="{00000000-0005-0000-0000-000015000000}"/>
    <cellStyle name="IntegerVariable" xfId="23" xr:uid="{00000000-0005-0000-0000-000016000000}"/>
    <cellStyle name="MainHeadingBlack" xfId="24" xr:uid="{00000000-0005-0000-0000-000017000000}"/>
    <cellStyle name="MainHeadingGreen" xfId="25" xr:uid="{00000000-0005-0000-0000-000018000000}"/>
    <cellStyle name="MainHeadingRed" xfId="26" xr:uid="{00000000-0005-0000-0000-000019000000}"/>
    <cellStyle name="MainText" xfId="27" xr:uid="{00000000-0005-0000-0000-00001A000000}"/>
    <cellStyle name="NetAssetValue" xfId="28" xr:uid="{00000000-0005-0000-0000-00001B000000}"/>
    <cellStyle name="Normal" xfId="0" builtinId="0"/>
    <cellStyle name="Normal 2" xfId="29" xr:uid="{00000000-0005-0000-0000-00001D000000}"/>
    <cellStyle name="Normal 3" xfId="30" xr:uid="{00000000-0005-0000-0000-00001E000000}"/>
    <cellStyle name="Normal 3 2" xfId="1" xr:uid="{00000000-0005-0000-0000-00001F000000}"/>
    <cellStyle name="Normal 4" xfId="31" xr:uid="{00000000-0005-0000-0000-000020000000}"/>
    <cellStyle name="Percent" xfId="62" builtinId="5"/>
    <cellStyle name="Percent.0" xfId="32" xr:uid="{00000000-0005-0000-0000-000022000000}"/>
    <cellStyle name="Percent.00" xfId="33" xr:uid="{00000000-0005-0000-0000-000023000000}"/>
    <cellStyle name="Percent.00+-Variable" xfId="34" xr:uid="{00000000-0005-0000-0000-000024000000}"/>
    <cellStyle name="Percent.000" xfId="35" xr:uid="{00000000-0005-0000-0000-000025000000}"/>
    <cellStyle name="Percent.00Reference" xfId="36" xr:uid="{00000000-0005-0000-0000-000026000000}"/>
    <cellStyle name="Percent.00Variable" xfId="37" xr:uid="{00000000-0005-0000-0000-000027000000}"/>
    <cellStyle name="PercentEstimate" xfId="38" xr:uid="{00000000-0005-0000-0000-000028000000}"/>
    <cellStyle name="PercentResult" xfId="39" xr:uid="{00000000-0005-0000-0000-000029000000}"/>
    <cellStyle name="PercentVariable" xfId="40" xr:uid="{00000000-0005-0000-0000-00002A000000}"/>
    <cellStyle name="ReferenceCurrencyLeft" xfId="41" xr:uid="{00000000-0005-0000-0000-00002B000000}"/>
    <cellStyle name="ReferenceMaxTop" xfId="42" xr:uid="{00000000-0005-0000-0000-00002C000000}"/>
    <cellStyle name="ReferenceMinTop" xfId="43" xr:uid="{00000000-0005-0000-0000-00002D000000}"/>
    <cellStyle name="ReferenceMonthLeft" xfId="44" xr:uid="{00000000-0005-0000-0000-00002E000000}"/>
    <cellStyle name="ReferencePercentTop" xfId="45" xr:uid="{00000000-0005-0000-0000-00002F000000}"/>
    <cellStyle name="ReferenceYearNumTop" xfId="46" xr:uid="{00000000-0005-0000-0000-000030000000}"/>
    <cellStyle name="ReferenceYearTop" xfId="47" xr:uid="{00000000-0005-0000-0000-000031000000}"/>
    <cellStyle name="Result" xfId="48" xr:uid="{00000000-0005-0000-0000-000032000000}"/>
    <cellStyle name="ResultInteger" xfId="49" xr:uid="{00000000-0005-0000-0000-000033000000}"/>
    <cellStyle name="Row Labels" xfId="50" xr:uid="{00000000-0005-0000-0000-000034000000}"/>
    <cellStyle name="StockValue" xfId="51" xr:uid="{00000000-0005-0000-0000-000035000000}"/>
    <cellStyle name="StockValuePreSplit" xfId="52" xr:uid="{00000000-0005-0000-0000-000036000000}"/>
    <cellStyle name="SubHeadingBlack" xfId="53" xr:uid="{00000000-0005-0000-0000-000037000000}"/>
    <cellStyle name="Subtitle" xfId="54" xr:uid="{00000000-0005-0000-0000-000038000000}"/>
    <cellStyle name="Total Labels" xfId="55" xr:uid="{00000000-0005-0000-0000-000039000000}"/>
    <cellStyle name="Totals" xfId="56" xr:uid="{00000000-0005-0000-0000-00003A000000}"/>
    <cellStyle name="Trading Symbol" xfId="57" xr:uid="{00000000-0005-0000-0000-00003B000000}"/>
    <cellStyle name="Weight (pounds)" xfId="58" xr:uid="{00000000-0005-0000-0000-00003C000000}"/>
    <cellStyle name="Wks Title" xfId="59" xr:uid="{00000000-0005-0000-0000-00003D000000}"/>
    <cellStyle name="ZipCode" xfId="60" xr:uid="{00000000-0005-0000-0000-00003E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1409700</xdr:colOff>
      <xdr:row>23</xdr:row>
      <xdr:rowOff>9525</xdr:rowOff>
    </xdr:from>
    <xdr:to>
      <xdr:col>5</xdr:col>
      <xdr:colOff>258536</xdr:colOff>
      <xdr:row>26</xdr:row>
      <xdr:rowOff>27215</xdr:rowOff>
    </xdr:to>
    <xdr:sp macro="" textlink="">
      <xdr:nvSpPr>
        <xdr:cNvPr id="2" name="Horizontal Scrol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019300" y="4552950"/>
          <a:ext cx="5697311" cy="589190"/>
        </a:xfrm>
        <a:prstGeom prst="horizontalScroll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600" b="1">
              <a:solidFill>
                <a:srgbClr val="FF0000"/>
              </a:solidFill>
            </a:rPr>
            <a:t>You have 90 minutes to complete this test</a:t>
          </a:r>
        </a:p>
      </xdr:txBody>
    </xdr:sp>
    <xdr:clientData/>
  </xdr:twoCellAnchor>
  <xdr:oneCellAnchor>
    <xdr:from>
      <xdr:col>2</xdr:col>
      <xdr:colOff>295275</xdr:colOff>
      <xdr:row>0</xdr:row>
      <xdr:rowOff>133350</xdr:rowOff>
    </xdr:from>
    <xdr:ext cx="5829300" cy="93762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686050" y="133350"/>
          <a:ext cx="5829300" cy="937629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balanced" dir="t">
              <a:rot lat="0" lon="0" rev="2100000"/>
            </a:lightRig>
          </a:scene3d>
          <a:sp3d extrusionH="57150" prstMaterial="metal">
            <a:bevelT w="38100" h="25400"/>
            <a:contourClr>
              <a:schemeClr val="bg2"/>
            </a:contourClr>
          </a:sp3d>
        </a:bodyPr>
        <a:lstStyle/>
        <a:p>
          <a:pPr algn="ctr"/>
          <a:r>
            <a:rPr lang="en-US" sz="5400" b="1" cap="none" spc="0">
              <a:ln w="50800"/>
              <a:solidFill>
                <a:schemeClr val="bg1">
                  <a:shade val="50000"/>
                </a:schemeClr>
              </a:solidFill>
              <a:effectLst/>
            </a:rPr>
            <a:t>MS-Excel Test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shwini_Tank.bak\Dis%20analytics\Knowledge%20Base\Excel\Training\Demonstration%20Fi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ctions Syntax"/>
      <sheetName val="demo(funs,if,lookup)"/>
      <sheetName val="Chart1"/>
      <sheetName val="Sheet1"/>
      <sheetName val="Sheet2"/>
      <sheetName val="subtotals,pivot table"/>
      <sheetName val="external pivot"/>
      <sheetName val="input-sheet1 consol"/>
      <sheetName val="input-sheet2 consol"/>
      <sheetName val="multiple consolidation"/>
      <sheetName val="forecast,histogram"/>
      <sheetName val="ChartSales"/>
      <sheetName val="ChartScroll"/>
      <sheetName val="Chart2"/>
      <sheetName val="Chart3"/>
      <sheetName val="chart data"/>
    </sheetNames>
    <sheetDataSet>
      <sheetData sheetId="0"/>
      <sheetData sheetId="1"/>
      <sheetData sheetId="2" refreshError="1"/>
      <sheetData sheetId="3"/>
      <sheetData sheetId="4"/>
      <sheetData sheetId="5">
        <row r="2">
          <cell r="A2" t="str">
            <v>slno</v>
          </cell>
          <cell r="B2" t="str">
            <v>empname</v>
          </cell>
          <cell r="C2" t="str">
            <v>age</v>
          </cell>
          <cell r="D2" t="str">
            <v>dept</v>
          </cell>
          <cell r="E2" t="str">
            <v>desgn</v>
          </cell>
          <cell r="F2" t="str">
            <v>basic</v>
          </cell>
          <cell r="G2" t="str">
            <v>hra</v>
          </cell>
          <cell r="H2" t="str">
            <v>da</v>
          </cell>
          <cell r="I2" t="str">
            <v>gross</v>
          </cell>
          <cell r="J2" t="str">
            <v>rating</v>
          </cell>
        </row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2">
          <cell r="A12">
            <v>10</v>
          </cell>
        </row>
        <row r="13">
          <cell r="A13">
            <v>11</v>
          </cell>
        </row>
        <row r="14">
          <cell r="A14">
            <v>12</v>
          </cell>
        </row>
        <row r="15">
          <cell r="A15">
            <v>13</v>
          </cell>
        </row>
        <row r="16">
          <cell r="A16">
            <v>14</v>
          </cell>
        </row>
        <row r="17">
          <cell r="A17">
            <v>15</v>
          </cell>
        </row>
        <row r="18">
          <cell r="A18">
            <v>16</v>
          </cell>
        </row>
        <row r="19">
          <cell r="A19">
            <v>17</v>
          </cell>
        </row>
        <row r="20">
          <cell r="A20">
            <v>18</v>
          </cell>
        </row>
      </sheetData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>
        <row r="4">
          <cell r="J4">
            <v>12</v>
          </cell>
        </row>
        <row r="5">
          <cell r="B5" t="str">
            <v>employee name</v>
          </cell>
          <cell r="C5" t="str">
            <v>projectedsales</v>
          </cell>
          <cell r="D5" t="str">
            <v>actual sales</v>
          </cell>
          <cell r="F5">
            <v>0</v>
          </cell>
        </row>
        <row r="6">
          <cell r="B6" t="str">
            <v>a</v>
          </cell>
          <cell r="C6">
            <v>300</v>
          </cell>
          <cell r="D6">
            <v>240</v>
          </cell>
          <cell r="F6">
            <v>12</v>
          </cell>
        </row>
        <row r="7">
          <cell r="B7" t="str">
            <v>b</v>
          </cell>
          <cell r="C7">
            <v>320</v>
          </cell>
          <cell r="D7">
            <v>300</v>
          </cell>
        </row>
        <row r="8">
          <cell r="B8" t="str">
            <v>c</v>
          </cell>
          <cell r="C8">
            <v>340</v>
          </cell>
          <cell r="D8">
            <v>320</v>
          </cell>
        </row>
        <row r="9">
          <cell r="B9" t="str">
            <v>d</v>
          </cell>
          <cell r="C9">
            <v>300</v>
          </cell>
          <cell r="D9">
            <v>200</v>
          </cell>
        </row>
        <row r="10">
          <cell r="B10" t="str">
            <v>e</v>
          </cell>
          <cell r="C10">
            <v>280</v>
          </cell>
          <cell r="D10">
            <v>290</v>
          </cell>
        </row>
        <row r="11">
          <cell r="B11" t="str">
            <v>f</v>
          </cell>
          <cell r="C11">
            <v>290</v>
          </cell>
          <cell r="D11">
            <v>280</v>
          </cell>
        </row>
        <row r="12">
          <cell r="B12" t="str">
            <v>g</v>
          </cell>
          <cell r="C12">
            <v>270</v>
          </cell>
          <cell r="D12">
            <v>260</v>
          </cell>
        </row>
        <row r="13">
          <cell r="B13" t="str">
            <v>h</v>
          </cell>
          <cell r="C13">
            <v>260</v>
          </cell>
          <cell r="D13">
            <v>250</v>
          </cell>
        </row>
        <row r="14">
          <cell r="B14" t="str">
            <v>I</v>
          </cell>
          <cell r="C14">
            <v>280</v>
          </cell>
          <cell r="D14">
            <v>270</v>
          </cell>
        </row>
        <row r="15">
          <cell r="B15" t="str">
            <v>j</v>
          </cell>
          <cell r="C15">
            <v>300</v>
          </cell>
          <cell r="D15">
            <v>280</v>
          </cell>
        </row>
        <row r="16">
          <cell r="B16" t="str">
            <v>k</v>
          </cell>
          <cell r="C16">
            <v>250</v>
          </cell>
          <cell r="D16">
            <v>200</v>
          </cell>
        </row>
        <row r="17">
          <cell r="B17" t="str">
            <v>l</v>
          </cell>
          <cell r="C17">
            <v>100</v>
          </cell>
          <cell r="D17">
            <v>300</v>
          </cell>
        </row>
        <row r="18">
          <cell r="B18" t="str">
            <v>m</v>
          </cell>
          <cell r="C18">
            <v>200</v>
          </cell>
          <cell r="D18">
            <v>300</v>
          </cell>
        </row>
        <row r="24">
          <cell r="D24" t="e">
            <v>#VALUE!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39"/>
  <sheetViews>
    <sheetView showGridLines="0" topLeftCell="A43" workbookViewId="0"/>
  </sheetViews>
  <sheetFormatPr defaultRowHeight="14.4"/>
  <cols>
    <col min="2" max="2" width="26.6640625" customWidth="1"/>
    <col min="3" max="3" width="32.5546875" customWidth="1"/>
    <col min="4" max="4" width="26.33203125" customWidth="1"/>
    <col min="5" max="5" width="17.109375" customWidth="1"/>
    <col min="6" max="6" width="31.109375" customWidth="1"/>
  </cols>
  <sheetData>
    <row r="1" spans="1:7">
      <c r="A1" s="1"/>
      <c r="B1" s="2"/>
      <c r="C1" s="1"/>
      <c r="D1" s="1"/>
      <c r="E1" s="1"/>
      <c r="F1" s="1"/>
      <c r="G1" s="1"/>
    </row>
    <row r="2" spans="1:7">
      <c r="A2" s="1"/>
      <c r="B2" s="3"/>
      <c r="C2" s="4"/>
      <c r="D2" s="5"/>
      <c r="E2" s="5"/>
      <c r="F2" s="5"/>
      <c r="G2" s="1"/>
    </row>
    <row r="3" spans="1:7">
      <c r="A3" s="1"/>
      <c r="B3" s="6"/>
      <c r="C3" s="4"/>
      <c r="D3" s="5"/>
      <c r="E3" s="5"/>
      <c r="F3" s="5"/>
      <c r="G3" s="1"/>
    </row>
    <row r="4" spans="1:7">
      <c r="A4" s="1"/>
      <c r="B4" s="3"/>
      <c r="C4" s="4"/>
      <c r="D4" s="5"/>
      <c r="E4" s="5"/>
      <c r="F4" s="5"/>
      <c r="G4" s="1"/>
    </row>
    <row r="5" spans="1:7">
      <c r="A5" s="1"/>
      <c r="B5" s="3"/>
      <c r="C5" s="4"/>
      <c r="D5" s="5"/>
      <c r="E5" s="5"/>
      <c r="F5" s="5"/>
      <c r="G5" s="1"/>
    </row>
    <row r="6" spans="1:7">
      <c r="A6" s="1"/>
      <c r="B6" s="3"/>
      <c r="C6" s="4"/>
      <c r="D6" s="5"/>
      <c r="E6" s="5"/>
      <c r="F6" s="5"/>
      <c r="G6" s="1"/>
    </row>
    <row r="7" spans="1:7">
      <c r="A7" s="1"/>
      <c r="B7" s="3"/>
      <c r="C7" s="4"/>
      <c r="D7" s="5"/>
      <c r="E7" s="5"/>
      <c r="F7" s="5"/>
      <c r="G7" s="1"/>
    </row>
    <row r="8" spans="1:7">
      <c r="A8" s="1"/>
      <c r="B8" s="2"/>
      <c r="C8" s="7"/>
      <c r="D8" s="1"/>
      <c r="E8" s="1"/>
      <c r="F8" s="1"/>
      <c r="G8" s="1"/>
    </row>
    <row r="9" spans="1:7">
      <c r="A9" s="1"/>
      <c r="B9" s="8" t="s">
        <v>0</v>
      </c>
      <c r="C9" s="9"/>
      <c r="D9" s="1"/>
      <c r="E9" s="1"/>
      <c r="F9" s="1"/>
      <c r="G9" s="1"/>
    </row>
    <row r="10" spans="1:7">
      <c r="A10" s="1"/>
      <c r="B10" s="8" t="s">
        <v>1</v>
      </c>
      <c r="C10" s="9"/>
      <c r="D10" s="1"/>
      <c r="E10" s="1"/>
      <c r="F10" s="1"/>
      <c r="G10" s="1"/>
    </row>
    <row r="11" spans="1:7">
      <c r="A11" s="1"/>
      <c r="B11" s="8" t="s">
        <v>2</v>
      </c>
      <c r="C11" s="9"/>
      <c r="D11" s="1"/>
      <c r="E11" s="1"/>
      <c r="F11" s="1"/>
      <c r="G11" s="1"/>
    </row>
    <row r="12" spans="1:7">
      <c r="A12" s="1"/>
      <c r="B12" s="8" t="s">
        <v>3</v>
      </c>
      <c r="C12" s="10"/>
      <c r="D12" s="1"/>
      <c r="E12" s="1"/>
      <c r="F12" s="1"/>
      <c r="G12" s="1"/>
    </row>
    <row r="13" spans="1:7">
      <c r="A13" s="1"/>
      <c r="B13" s="8" t="s">
        <v>4</v>
      </c>
      <c r="C13" s="9"/>
      <c r="D13" s="1"/>
      <c r="E13" s="1"/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 ht="18">
      <c r="A15" s="1"/>
      <c r="B15" s="11" t="s">
        <v>575</v>
      </c>
      <c r="C15" s="1"/>
      <c r="D15" s="1"/>
      <c r="E15" s="1"/>
      <c r="F15" s="1"/>
      <c r="G15" s="1"/>
    </row>
    <row r="16" spans="1:7" ht="15.6">
      <c r="A16" s="12"/>
      <c r="B16" s="13" t="s">
        <v>5</v>
      </c>
      <c r="C16" s="12"/>
      <c r="D16" s="12"/>
      <c r="E16" s="12"/>
      <c r="F16" s="12"/>
      <c r="G16" s="12"/>
    </row>
    <row r="17" spans="1:7" ht="15.6">
      <c r="A17" s="12"/>
      <c r="B17" s="14"/>
      <c r="C17" s="12"/>
      <c r="D17" s="12"/>
      <c r="E17" s="12"/>
      <c r="F17" s="12"/>
      <c r="G17" s="12"/>
    </row>
    <row r="18" spans="1:7" ht="15.6">
      <c r="A18" s="12"/>
      <c r="B18" s="15" t="s">
        <v>6</v>
      </c>
      <c r="C18" s="12"/>
      <c r="D18" s="12"/>
      <c r="E18" s="12"/>
      <c r="F18" s="12"/>
      <c r="G18" s="12"/>
    </row>
    <row r="19" spans="1:7" ht="15.6">
      <c r="A19" s="12"/>
      <c r="B19" s="16" t="s">
        <v>7</v>
      </c>
      <c r="C19" s="12"/>
      <c r="D19" s="12"/>
      <c r="E19" s="12"/>
      <c r="F19" s="12"/>
      <c r="G19" s="12"/>
    </row>
    <row r="20" spans="1:7" ht="15.6">
      <c r="A20" s="12"/>
      <c r="B20" s="16" t="s">
        <v>8</v>
      </c>
      <c r="C20" s="12"/>
      <c r="D20" s="12"/>
      <c r="E20" s="12"/>
      <c r="F20" s="12"/>
      <c r="G20" s="12"/>
    </row>
    <row r="21" spans="1:7" ht="15.6">
      <c r="A21" s="12"/>
      <c r="B21" s="16" t="s">
        <v>9</v>
      </c>
      <c r="C21" s="12"/>
      <c r="D21" s="12"/>
      <c r="E21" s="12"/>
      <c r="F21" s="12"/>
      <c r="G21" s="12"/>
    </row>
    <row r="22" spans="1:7" ht="15.6">
      <c r="A22" s="1"/>
      <c r="B22" s="16" t="s">
        <v>10</v>
      </c>
      <c r="C22" s="1"/>
      <c r="D22" s="1"/>
      <c r="E22" s="1"/>
      <c r="F22" s="1"/>
      <c r="G22" s="1"/>
    </row>
    <row r="23" spans="1:7" ht="18">
      <c r="A23" s="1"/>
      <c r="B23" s="17"/>
      <c r="C23" s="1"/>
      <c r="D23" s="1"/>
      <c r="E23" s="1"/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  <row r="25" spans="1:7">
      <c r="A25" s="1"/>
      <c r="B25" s="1"/>
      <c r="C25" s="1"/>
      <c r="D25" s="1"/>
      <c r="E25" s="1"/>
      <c r="F25" s="1"/>
      <c r="G25" s="1"/>
    </row>
    <row r="26" spans="1:7">
      <c r="A26" s="1"/>
      <c r="B26" s="1"/>
      <c r="C26" s="1"/>
      <c r="D26" s="1"/>
      <c r="E26" s="1"/>
      <c r="F26" s="1"/>
      <c r="G26" s="1"/>
    </row>
    <row r="27" spans="1:7">
      <c r="A27" s="1"/>
      <c r="B27" s="1"/>
      <c r="C27" s="1"/>
      <c r="D27" s="1"/>
      <c r="E27" s="1"/>
      <c r="F27" s="1"/>
      <c r="G27" s="1"/>
    </row>
    <row r="28" spans="1:7">
      <c r="A28" s="1"/>
      <c r="B28" s="1"/>
      <c r="C28" s="162" t="s">
        <v>11</v>
      </c>
      <c r="D28" s="163"/>
      <c r="E28" s="1"/>
      <c r="F28" s="1"/>
      <c r="G28" s="1"/>
    </row>
    <row r="29" spans="1:7">
      <c r="A29" s="1"/>
      <c r="B29" s="1"/>
      <c r="C29" s="18" t="s">
        <v>12</v>
      </c>
      <c r="D29" s="19" t="s">
        <v>13</v>
      </c>
      <c r="E29" s="1"/>
      <c r="F29" s="1"/>
      <c r="G29" s="1"/>
    </row>
    <row r="30" spans="1:7">
      <c r="A30" s="1"/>
      <c r="B30" s="1"/>
      <c r="C30" s="20" t="s">
        <v>14</v>
      </c>
      <c r="D30" s="21" t="s">
        <v>13</v>
      </c>
      <c r="E30" s="1"/>
      <c r="F30" s="1"/>
      <c r="G30" s="1"/>
    </row>
    <row r="31" spans="1:7">
      <c r="A31" s="1"/>
      <c r="B31" s="1"/>
      <c r="C31" s="20" t="s">
        <v>15</v>
      </c>
      <c r="D31" s="21" t="s">
        <v>13</v>
      </c>
      <c r="E31" s="1"/>
      <c r="F31" s="1"/>
      <c r="G31" s="1"/>
    </row>
    <row r="32" spans="1:7">
      <c r="A32" s="1"/>
      <c r="B32" s="1"/>
      <c r="C32" s="20" t="s">
        <v>16</v>
      </c>
      <c r="D32" s="21" t="s">
        <v>13</v>
      </c>
      <c r="E32" s="1"/>
      <c r="F32" s="1"/>
      <c r="G32" s="1"/>
    </row>
    <row r="33" spans="1:7">
      <c r="A33" s="1"/>
      <c r="B33" s="1"/>
      <c r="C33" s="20" t="s">
        <v>17</v>
      </c>
      <c r="D33" s="21" t="s">
        <v>13</v>
      </c>
      <c r="E33" s="1"/>
      <c r="F33" s="1"/>
      <c r="G33" s="1"/>
    </row>
    <row r="34" spans="1:7">
      <c r="A34" s="1"/>
      <c r="B34" s="1"/>
      <c r="C34" s="20" t="s">
        <v>18</v>
      </c>
      <c r="D34" s="21" t="s">
        <v>13</v>
      </c>
      <c r="E34" s="1"/>
      <c r="F34" s="1"/>
      <c r="G34" s="1"/>
    </row>
    <row r="35" spans="1:7">
      <c r="A35" s="1"/>
      <c r="B35" s="1"/>
      <c r="C35" s="20" t="s">
        <v>19</v>
      </c>
      <c r="D35" s="21" t="s">
        <v>13</v>
      </c>
      <c r="E35" s="1"/>
      <c r="F35" s="1"/>
      <c r="G35" s="1"/>
    </row>
    <row r="36" spans="1:7">
      <c r="A36" s="1"/>
      <c r="B36" s="1"/>
      <c r="C36" s="20" t="s">
        <v>20</v>
      </c>
      <c r="D36" s="21" t="s">
        <v>13</v>
      </c>
      <c r="E36" s="1"/>
      <c r="F36" s="1"/>
      <c r="G36" s="1"/>
    </row>
    <row r="37" spans="1:7">
      <c r="A37" s="1"/>
      <c r="B37" s="1"/>
      <c r="C37" s="20" t="s">
        <v>21</v>
      </c>
      <c r="D37" s="21" t="s">
        <v>13</v>
      </c>
      <c r="E37" s="1"/>
      <c r="F37" s="1"/>
      <c r="G37" s="1"/>
    </row>
    <row r="38" spans="1:7">
      <c r="A38" s="1"/>
      <c r="B38" s="1"/>
      <c r="C38" s="22" t="s">
        <v>22</v>
      </c>
      <c r="D38" s="23" t="s">
        <v>13</v>
      </c>
      <c r="E38" s="1"/>
      <c r="F38" s="1"/>
      <c r="G38" s="1"/>
    </row>
    <row r="39" spans="1:7">
      <c r="A39" s="1"/>
      <c r="B39" s="1"/>
      <c r="C39" s="24" t="s">
        <v>23</v>
      </c>
      <c r="D39" s="25" t="s">
        <v>24</v>
      </c>
      <c r="E39" s="1"/>
      <c r="F39" s="1"/>
      <c r="G39" s="1"/>
    </row>
  </sheetData>
  <protectedRanges>
    <protectedRange sqref="C9:C13" name="Range1"/>
  </protectedRanges>
  <mergeCells count="1">
    <mergeCell ref="C28:D2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B2:G31"/>
  <sheetViews>
    <sheetView showGridLines="0" topLeftCell="A13" workbookViewId="0">
      <selection activeCell="G24" sqref="G24"/>
    </sheetView>
  </sheetViews>
  <sheetFormatPr defaultRowHeight="14.4"/>
  <cols>
    <col min="2" max="2" width="19" bestFit="1" customWidth="1"/>
    <col min="3" max="5" width="12.6640625" customWidth="1"/>
    <col min="6" max="6" width="22.109375" customWidth="1"/>
    <col min="7" max="7" width="20.5546875" bestFit="1" customWidth="1"/>
  </cols>
  <sheetData>
    <row r="2" spans="2:7">
      <c r="B2" s="167" t="s">
        <v>581</v>
      </c>
      <c r="C2" s="168"/>
      <c r="D2" s="168"/>
      <c r="E2" s="168"/>
      <c r="F2" s="168"/>
      <c r="G2" s="169"/>
    </row>
    <row r="3" spans="2:7">
      <c r="B3" s="170" t="s">
        <v>25</v>
      </c>
      <c r="C3" s="171"/>
      <c r="D3" s="171"/>
      <c r="E3" s="171"/>
      <c r="F3" s="171"/>
      <c r="G3" s="172"/>
    </row>
    <row r="4" spans="2:7">
      <c r="B4" s="170" t="s">
        <v>26</v>
      </c>
      <c r="C4" s="171"/>
      <c r="D4" s="171"/>
      <c r="E4" s="171"/>
      <c r="F4" s="171"/>
      <c r="G4" s="172"/>
    </row>
    <row r="5" spans="2:7">
      <c r="B5" s="170" t="s">
        <v>27</v>
      </c>
      <c r="C5" s="171"/>
      <c r="D5" s="171"/>
      <c r="E5" s="171"/>
      <c r="F5" s="171"/>
      <c r="G5" s="172"/>
    </row>
    <row r="6" spans="2:7">
      <c r="B6" s="170" t="s">
        <v>28</v>
      </c>
      <c r="C6" s="171"/>
      <c r="D6" s="171"/>
      <c r="E6" s="171"/>
      <c r="F6" s="171"/>
      <c r="G6" s="172"/>
    </row>
    <row r="7" spans="2:7" ht="19.5" customHeight="1">
      <c r="B7" s="170" t="s">
        <v>29</v>
      </c>
      <c r="C7" s="171"/>
      <c r="D7" s="171"/>
      <c r="E7" s="171"/>
      <c r="F7" s="171"/>
      <c r="G7" s="172"/>
    </row>
    <row r="9" spans="2:7" hidden="1">
      <c r="B9" s="167" t="s">
        <v>580</v>
      </c>
      <c r="C9" s="168"/>
      <c r="D9" s="168"/>
      <c r="E9" s="168"/>
      <c r="F9" s="168"/>
      <c r="G9" s="169"/>
    </row>
    <row r="10" spans="2:7" hidden="1">
      <c r="B10" s="170" t="s">
        <v>30</v>
      </c>
      <c r="C10" s="171"/>
      <c r="D10" s="171"/>
      <c r="E10" s="171"/>
      <c r="F10" s="171"/>
      <c r="G10" s="172"/>
    </row>
    <row r="11" spans="2:7" hidden="1">
      <c r="B11" s="170" t="s">
        <v>31</v>
      </c>
      <c r="C11" s="171"/>
      <c r="D11" s="171"/>
      <c r="E11" s="171"/>
      <c r="F11" s="171"/>
      <c r="G11" s="172"/>
    </row>
    <row r="12" spans="2:7" hidden="1">
      <c r="B12" s="170" t="s">
        <v>32</v>
      </c>
      <c r="C12" s="171"/>
      <c r="D12" s="171"/>
      <c r="E12" s="171"/>
      <c r="F12" s="171"/>
      <c r="G12" s="172"/>
    </row>
    <row r="13" spans="2:7" ht="15" thickBot="1"/>
    <row r="14" spans="2:7" ht="15" thickBot="1">
      <c r="B14" s="173" t="s">
        <v>33</v>
      </c>
      <c r="C14" s="174"/>
      <c r="D14" s="175"/>
    </row>
    <row r="15" spans="2:7">
      <c r="B15" s="26" t="s">
        <v>34</v>
      </c>
      <c r="C15" s="27" t="s">
        <v>35</v>
      </c>
      <c r="D15" s="28" t="s">
        <v>36</v>
      </c>
    </row>
    <row r="16" spans="2:7">
      <c r="B16" s="29" t="s">
        <v>37</v>
      </c>
      <c r="C16" s="142">
        <v>2.85</v>
      </c>
      <c r="D16" s="30" t="s">
        <v>38</v>
      </c>
    </row>
    <row r="17" spans="2:7">
      <c r="B17" s="29" t="s">
        <v>39</v>
      </c>
      <c r="C17" s="142">
        <v>3.06</v>
      </c>
      <c r="D17" s="30" t="s">
        <v>38</v>
      </c>
    </row>
    <row r="18" spans="2:7">
      <c r="B18" s="29" t="s">
        <v>40</v>
      </c>
      <c r="C18" s="142">
        <v>8.8999999999999996E-2</v>
      </c>
      <c r="D18" s="30" t="s">
        <v>41</v>
      </c>
    </row>
    <row r="19" spans="2:7">
      <c r="B19" s="29" t="s">
        <v>42</v>
      </c>
      <c r="C19" s="142">
        <v>1.0900000000000001</v>
      </c>
      <c r="D19" s="30" t="s">
        <v>43</v>
      </c>
    </row>
    <row r="20" spans="2:7" ht="15" thickBot="1">
      <c r="B20" s="31" t="s">
        <v>44</v>
      </c>
      <c r="C20" s="143">
        <v>1.31</v>
      </c>
      <c r="D20" s="32" t="s">
        <v>38</v>
      </c>
    </row>
    <row r="21" spans="2:7" ht="15" thickBot="1"/>
    <row r="22" spans="2:7">
      <c r="B22" s="33"/>
      <c r="C22" s="164" t="s">
        <v>45</v>
      </c>
      <c r="D22" s="165"/>
      <c r="E22" s="166"/>
      <c r="F22" s="34"/>
      <c r="G22" s="34"/>
    </row>
    <row r="23" spans="2:7" ht="27" thickBot="1">
      <c r="B23" s="35" t="s">
        <v>46</v>
      </c>
      <c r="C23" s="36" t="s">
        <v>47</v>
      </c>
      <c r="D23" s="37" t="s">
        <v>48</v>
      </c>
      <c r="E23" s="38" t="s">
        <v>49</v>
      </c>
      <c r="F23" s="35" t="s">
        <v>50</v>
      </c>
      <c r="G23" s="35" t="s">
        <v>51</v>
      </c>
    </row>
    <row r="24" spans="2:7">
      <c r="B24" s="39" t="s">
        <v>52</v>
      </c>
      <c r="C24" s="133">
        <v>545880</v>
      </c>
      <c r="D24" s="144">
        <f>C24/$C$31</f>
        <v>0.31618914120716968</v>
      </c>
      <c r="E24" s="161">
        <f>C24*$C$18</f>
        <v>48583.32</v>
      </c>
      <c r="F24" s="145">
        <v>25629.683333333302</v>
      </c>
      <c r="G24" s="149">
        <f>E24/F24</f>
        <v>1.8955879933488602</v>
      </c>
    </row>
    <row r="25" spans="2:7">
      <c r="B25" s="40" t="s">
        <v>53</v>
      </c>
      <c r="C25" s="134">
        <v>563793</v>
      </c>
      <c r="D25" s="144">
        <f t="shared" ref="D25:D30" si="0">C25/$C$31</f>
        <v>0.32656485764016602</v>
      </c>
      <c r="E25" s="161">
        <f t="shared" ref="E25:E30" si="1">C25*$C$18</f>
        <v>50177.576999999997</v>
      </c>
      <c r="F25" s="146">
        <v>24329.691666666669</v>
      </c>
      <c r="G25" s="149">
        <f t="shared" ref="G25:G30" si="2">E25/F25</f>
        <v>2.0624008593066834</v>
      </c>
    </row>
    <row r="26" spans="2:7">
      <c r="B26" s="41" t="s">
        <v>54</v>
      </c>
      <c r="C26" s="135">
        <v>107639</v>
      </c>
      <c r="D26" s="144">
        <f t="shared" si="0"/>
        <v>6.2347554353335055E-2</v>
      </c>
      <c r="E26" s="161">
        <f t="shared" si="1"/>
        <v>9579.8709999999992</v>
      </c>
      <c r="F26" s="147">
        <v>11301.408333333335</v>
      </c>
      <c r="G26" s="149">
        <f t="shared" si="2"/>
        <v>0.84767054843459755</v>
      </c>
    </row>
    <row r="27" spans="2:7">
      <c r="B27" s="42" t="s">
        <v>55</v>
      </c>
      <c r="C27" s="136">
        <v>180000</v>
      </c>
      <c r="D27" s="144">
        <f t="shared" si="0"/>
        <v>0.10426109294586822</v>
      </c>
      <c r="E27" s="161">
        <f t="shared" si="1"/>
        <v>16020</v>
      </c>
      <c r="F27" s="146">
        <v>9573.2833333333347</v>
      </c>
      <c r="G27" s="149">
        <f t="shared" si="2"/>
        <v>1.6734070686302329</v>
      </c>
    </row>
    <row r="28" spans="2:7">
      <c r="B28" s="43" t="s">
        <v>56</v>
      </c>
      <c r="C28" s="135">
        <v>182980</v>
      </c>
      <c r="D28" s="144">
        <f t="shared" si="0"/>
        <v>0.10598719326241648</v>
      </c>
      <c r="E28" s="161">
        <f t="shared" si="1"/>
        <v>16285.22</v>
      </c>
      <c r="F28" s="147">
        <v>9567.2916666666679</v>
      </c>
      <c r="G28" s="149">
        <f t="shared" si="2"/>
        <v>1.7021765999608036</v>
      </c>
    </row>
    <row r="29" spans="2:7">
      <c r="B29" s="42" t="s">
        <v>57</v>
      </c>
      <c r="C29" s="136">
        <v>12447</v>
      </c>
      <c r="D29" s="144">
        <f t="shared" si="0"/>
        <v>7.2096545772067878E-3</v>
      </c>
      <c r="E29" s="161">
        <f t="shared" si="1"/>
        <v>1107.7829999999999</v>
      </c>
      <c r="F29" s="148">
        <v>10679.966666666667</v>
      </c>
      <c r="G29" s="149">
        <f t="shared" si="2"/>
        <v>0.10372532373696546</v>
      </c>
    </row>
    <row r="30" spans="2:7" ht="15" thickBot="1">
      <c r="B30" s="44" t="s">
        <v>58</v>
      </c>
      <c r="C30" s="135">
        <v>133696</v>
      </c>
      <c r="D30" s="144">
        <f t="shared" si="0"/>
        <v>7.744050601383777E-2</v>
      </c>
      <c r="E30" s="161">
        <f t="shared" si="1"/>
        <v>11898.944</v>
      </c>
      <c r="F30" s="147">
        <v>7416.0333333333338</v>
      </c>
      <c r="G30" s="149">
        <f t="shared" si="2"/>
        <v>1.6044890125448914</v>
      </c>
    </row>
    <row r="31" spans="2:7" ht="15" thickBot="1">
      <c r="B31" s="45" t="s">
        <v>59</v>
      </c>
      <c r="C31" s="139">
        <f>SUM(C24:C30)</f>
        <v>1726435</v>
      </c>
      <c r="D31" s="154">
        <f>SUM(D24:D30)</f>
        <v>0.99999999999999989</v>
      </c>
      <c r="E31" s="155">
        <f>SUM(E24:E30)</f>
        <v>153652.71499999997</v>
      </c>
      <c r="F31" s="156">
        <f>SUM(F24:F30)</f>
        <v>98497.358333333323</v>
      </c>
      <c r="G31" s="150">
        <f>AVERAGE(G24:G30)</f>
        <v>1.4127796294232908</v>
      </c>
    </row>
  </sheetData>
  <mergeCells count="12">
    <mergeCell ref="C22:E22"/>
    <mergeCell ref="B2:G2"/>
    <mergeCell ref="B3:G3"/>
    <mergeCell ref="B4:G4"/>
    <mergeCell ref="B5:G5"/>
    <mergeCell ref="B6:G6"/>
    <mergeCell ref="B7:G7"/>
    <mergeCell ref="B9:G9"/>
    <mergeCell ref="B10:G10"/>
    <mergeCell ref="B11:G11"/>
    <mergeCell ref="B12:G12"/>
    <mergeCell ref="B14:D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1:L18"/>
  <sheetViews>
    <sheetView showGridLines="0" topLeftCell="A8" workbookViewId="0">
      <selection activeCell="D11" sqref="D11"/>
    </sheetView>
  </sheetViews>
  <sheetFormatPr defaultColWidth="9.109375" defaultRowHeight="24.9" customHeight="1"/>
  <cols>
    <col min="1" max="1" width="9.109375" style="46"/>
    <col min="2" max="2" width="12" style="46" customWidth="1"/>
    <col min="3" max="3" width="19.44140625" style="46" bestFit="1" customWidth="1"/>
    <col min="4" max="5" width="15.44140625" style="46" bestFit="1" customWidth="1"/>
    <col min="6" max="7" width="9.109375" style="46"/>
    <col min="8" max="10" width="15.44140625" style="46" bestFit="1" customWidth="1"/>
    <col min="11" max="16384" width="9.109375" style="46"/>
  </cols>
  <sheetData>
    <row r="1" spans="2:12" ht="15" customHeight="1">
      <c r="B1" s="176" t="s">
        <v>579</v>
      </c>
      <c r="C1" s="176"/>
      <c r="D1" s="176"/>
      <c r="E1" s="176"/>
      <c r="F1" s="176"/>
      <c r="G1" s="176"/>
      <c r="H1" s="176"/>
    </row>
    <row r="2" spans="2:12" ht="24.9" customHeight="1">
      <c r="B2" s="176"/>
      <c r="C2" s="176"/>
      <c r="D2" s="176"/>
      <c r="E2" s="176"/>
      <c r="F2" s="176"/>
      <c r="G2" s="176"/>
      <c r="H2" s="176"/>
    </row>
    <row r="3" spans="2:12" ht="14.4"/>
    <row r="4" spans="2:12" ht="24.9" customHeight="1">
      <c r="B4" s="126"/>
      <c r="C4" s="127"/>
      <c r="D4" s="127"/>
      <c r="E4" s="128" t="s">
        <v>60</v>
      </c>
      <c r="F4" s="47"/>
      <c r="G4" s="47"/>
      <c r="H4" s="47"/>
      <c r="I4" s="47"/>
      <c r="J4" s="157"/>
      <c r="K4" s="47"/>
    </row>
    <row r="5" spans="2:12" ht="24.9" customHeight="1">
      <c r="B5" s="126" t="s">
        <v>61</v>
      </c>
      <c r="C5" s="127" t="s">
        <v>576</v>
      </c>
      <c r="D5" s="127" t="s">
        <v>62</v>
      </c>
      <c r="E5" s="152">
        <v>23</v>
      </c>
      <c r="F5" s="47"/>
      <c r="G5" s="47"/>
      <c r="H5" s="47"/>
      <c r="I5" s="47"/>
      <c r="J5" s="157"/>
      <c r="K5" s="47"/>
    </row>
    <row r="6" spans="2:12" ht="24.9" customHeight="1">
      <c r="B6" s="126" t="s">
        <v>63</v>
      </c>
      <c r="C6" s="127" t="s">
        <v>577</v>
      </c>
      <c r="D6" s="127" t="s">
        <v>62</v>
      </c>
      <c r="E6" s="152">
        <v>20</v>
      </c>
      <c r="F6" s="47"/>
      <c r="J6" s="157"/>
    </row>
    <row r="7" spans="2:12" ht="24.9" customHeight="1">
      <c r="B7" s="126" t="s">
        <v>64</v>
      </c>
      <c r="C7" s="127" t="s">
        <v>578</v>
      </c>
      <c r="D7" s="127" t="s">
        <v>62</v>
      </c>
      <c r="E7" s="152">
        <v>15</v>
      </c>
      <c r="F7" s="47"/>
      <c r="J7" s="157"/>
      <c r="K7" s="158"/>
    </row>
    <row r="8" spans="2:12" ht="24.9" customHeight="1">
      <c r="C8" s="48"/>
      <c r="D8" s="47"/>
      <c r="E8" s="47"/>
      <c r="F8" s="47"/>
      <c r="J8" s="157"/>
    </row>
    <row r="9" spans="2:12" ht="24.9" customHeight="1">
      <c r="J9" s="157"/>
    </row>
    <row r="10" spans="2:12" ht="24.9" customHeight="1">
      <c r="B10" s="49"/>
      <c r="C10" s="140" t="s">
        <v>65</v>
      </c>
      <c r="D10" s="140" t="s">
        <v>49</v>
      </c>
      <c r="E10" s="47"/>
      <c r="F10" s="47"/>
      <c r="G10" s="47"/>
      <c r="H10" s="47"/>
      <c r="I10" s="47"/>
      <c r="J10" s="47"/>
      <c r="K10" s="47"/>
      <c r="L10" s="47"/>
    </row>
    <row r="11" spans="2:12" ht="24.9" customHeight="1">
      <c r="B11" s="50">
        <v>1</v>
      </c>
      <c r="C11" s="141">
        <v>1600</v>
      </c>
      <c r="D11" s="151">
        <f>IF(AND(C11&gt;0,C11&lt;=500),23*C11,IF(AND(C11&gt;500,C11&lt;=1000),23*500+20*(C11-500),IF(C11&gt;1000,(23*500)+(20*500)+(C11-1000)*15)))</f>
        <v>30500</v>
      </c>
      <c r="E11" s="47"/>
      <c r="F11" s="47"/>
      <c r="G11" s="159">
        <v>30500</v>
      </c>
      <c r="H11" s="160" t="s">
        <v>584</v>
      </c>
      <c r="I11" s="160">
        <v>600</v>
      </c>
      <c r="J11" s="160">
        <f>I11*15</f>
        <v>9000</v>
      </c>
      <c r="K11" s="47"/>
      <c r="L11" s="47"/>
    </row>
    <row r="12" spans="2:12" ht="24.9" customHeight="1">
      <c r="B12" s="50">
        <v>2</v>
      </c>
      <c r="C12" s="141">
        <v>483</v>
      </c>
      <c r="D12" s="151">
        <f t="shared" ref="D12:D13" si="0">IF(AND(C12&gt;0,C12&lt;=500),23*C12,IF(AND(C12&gt;500,C12&lt;=1000),23*500+20*(C12-500),IF(C12&gt;1000,(23*500)+(20*500)+(C12-1000)*15)))</f>
        <v>11109</v>
      </c>
      <c r="E12" s="47"/>
      <c r="F12" s="47"/>
      <c r="G12" s="47"/>
      <c r="H12" s="160" t="s">
        <v>585</v>
      </c>
      <c r="I12" s="160">
        <v>500</v>
      </c>
      <c r="J12" s="160">
        <f>I12*20</f>
        <v>10000</v>
      </c>
      <c r="K12" s="47"/>
    </row>
    <row r="13" spans="2:12" ht="24.9" customHeight="1">
      <c r="B13" s="50">
        <v>3</v>
      </c>
      <c r="C13" s="141">
        <v>2001</v>
      </c>
      <c r="D13" s="151">
        <f t="shared" si="0"/>
        <v>36515</v>
      </c>
      <c r="E13" s="47"/>
      <c r="F13" s="47"/>
      <c r="G13" s="47"/>
      <c r="H13" s="160" t="s">
        <v>586</v>
      </c>
      <c r="I13" s="160">
        <v>500</v>
      </c>
      <c r="J13" s="160">
        <f>I13*23</f>
        <v>11500</v>
      </c>
      <c r="K13" s="47"/>
    </row>
    <row r="14" spans="2:12" ht="24.9" customHeight="1">
      <c r="C14" s="47"/>
      <c r="D14" s="47"/>
      <c r="E14" s="47"/>
      <c r="F14" s="47"/>
      <c r="G14" s="47"/>
      <c r="H14" s="160"/>
      <c r="I14" s="160">
        <f>SUM(I11:I13)</f>
        <v>1600</v>
      </c>
      <c r="J14" s="160">
        <f>SUM(J11:J13)</f>
        <v>30500</v>
      </c>
      <c r="K14" s="47"/>
    </row>
    <row r="15" spans="2:12" ht="24.9" customHeight="1">
      <c r="C15" s="47"/>
      <c r="D15" s="47"/>
      <c r="E15" s="47"/>
      <c r="F15" s="47"/>
      <c r="G15" s="47"/>
      <c r="H15" s="47"/>
      <c r="I15" s="47"/>
      <c r="J15" s="47"/>
      <c r="K15" s="47"/>
    </row>
    <row r="16" spans="2:12" ht="24.9" customHeight="1">
      <c r="C16" s="47"/>
      <c r="D16" s="47"/>
      <c r="E16" s="51"/>
      <c r="F16" s="47"/>
      <c r="G16" s="47"/>
      <c r="H16" s="47"/>
      <c r="I16" s="47"/>
      <c r="J16" s="47"/>
      <c r="K16" s="47"/>
    </row>
    <row r="17" spans="3:11" ht="24.9" customHeight="1">
      <c r="C17" s="47"/>
      <c r="D17" s="47"/>
      <c r="E17" s="47"/>
      <c r="F17" s="47"/>
      <c r="G17" s="47"/>
      <c r="H17" s="47"/>
      <c r="I17" s="47"/>
      <c r="J17" s="47"/>
      <c r="K17" s="47"/>
    </row>
    <row r="18" spans="3:11" ht="24.9" customHeight="1">
      <c r="C18" s="47"/>
      <c r="D18" s="47"/>
      <c r="E18" s="47"/>
      <c r="F18" s="47"/>
      <c r="G18" s="47"/>
      <c r="H18" s="47"/>
      <c r="I18" s="47"/>
      <c r="J18" s="47"/>
      <c r="K18" s="47"/>
    </row>
  </sheetData>
  <mergeCells count="1">
    <mergeCell ref="B1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B1:H39"/>
  <sheetViews>
    <sheetView showGridLines="0" topLeftCell="A9" zoomScale="86" workbookViewId="0">
      <selection activeCell="C15" sqref="C15"/>
    </sheetView>
  </sheetViews>
  <sheetFormatPr defaultRowHeight="14.4"/>
  <cols>
    <col min="2" max="2" width="26.109375" customWidth="1"/>
  </cols>
  <sheetData>
    <row r="1" spans="2:8">
      <c r="B1" s="52" t="s">
        <v>66</v>
      </c>
      <c r="C1" s="53"/>
    </row>
    <row r="2" spans="2:8" ht="15">
      <c r="B2" s="54" t="s">
        <v>587</v>
      </c>
      <c r="C2" s="53"/>
    </row>
    <row r="3" spans="2:8">
      <c r="B3" s="53"/>
      <c r="C3" s="53"/>
    </row>
    <row r="4" spans="2:8" ht="15.6" thickBot="1">
      <c r="B4" s="55" t="s">
        <v>67</v>
      </c>
      <c r="C4" s="55"/>
    </row>
    <row r="5" spans="2:8" ht="29.4" thickBot="1">
      <c r="B5" s="56" t="s">
        <v>68</v>
      </c>
      <c r="C5" s="56" t="s">
        <v>69</v>
      </c>
    </row>
    <row r="6" spans="2:8">
      <c r="B6" s="57" t="s">
        <v>70</v>
      </c>
      <c r="C6" s="58" t="s">
        <v>71</v>
      </c>
    </row>
    <row r="7" spans="2:8">
      <c r="B7" s="59" t="s">
        <v>72</v>
      </c>
      <c r="C7" s="60" t="s">
        <v>73</v>
      </c>
    </row>
    <row r="8" spans="2:8">
      <c r="B8" s="59" t="s">
        <v>74</v>
      </c>
      <c r="C8" s="60" t="s">
        <v>75</v>
      </c>
    </row>
    <row r="9" spans="2:8">
      <c r="B9" s="59" t="s">
        <v>76</v>
      </c>
      <c r="C9" s="60" t="s">
        <v>77</v>
      </c>
    </row>
    <row r="10" spans="2:8" ht="15" thickBot="1">
      <c r="B10" s="61" t="s">
        <v>78</v>
      </c>
      <c r="C10" s="62" t="s">
        <v>79</v>
      </c>
    </row>
    <row r="11" spans="2:8">
      <c r="B11" s="53"/>
      <c r="C11" s="53"/>
    </row>
    <row r="12" spans="2:8">
      <c r="B12" s="53"/>
      <c r="C12" s="53"/>
    </row>
    <row r="13" spans="2:8">
      <c r="B13" s="129" t="s">
        <v>582</v>
      </c>
    </row>
    <row r="14" spans="2:8">
      <c r="B14" s="130" t="s">
        <v>80</v>
      </c>
      <c r="C14" s="130" t="s">
        <v>81</v>
      </c>
      <c r="D14" s="53"/>
      <c r="G14" s="153">
        <v>0</v>
      </c>
      <c r="H14" s="153" t="s">
        <v>79</v>
      </c>
    </row>
    <row r="15" spans="2:8">
      <c r="B15" s="131">
        <v>45</v>
      </c>
      <c r="C15" s="131" t="str">
        <f>VLOOKUP(B15,$G$14:$H$18,2,1)</f>
        <v>F</v>
      </c>
      <c r="D15" s="53"/>
      <c r="G15" s="153">
        <v>60</v>
      </c>
      <c r="H15" s="153" t="s">
        <v>77</v>
      </c>
    </row>
    <row r="16" spans="2:8">
      <c r="B16" s="131">
        <v>90</v>
      </c>
      <c r="C16" s="131" t="str">
        <f t="shared" ref="C16:C39" si="0">VLOOKUP(B16,$G$14:$H$18,2,1)</f>
        <v>A</v>
      </c>
      <c r="D16" s="53"/>
      <c r="G16" s="153">
        <v>70</v>
      </c>
      <c r="H16" s="153" t="s">
        <v>75</v>
      </c>
    </row>
    <row r="17" spans="2:8">
      <c r="B17" s="131">
        <v>78</v>
      </c>
      <c r="C17" s="131" t="str">
        <f t="shared" si="0"/>
        <v>C</v>
      </c>
      <c r="D17" s="53"/>
      <c r="G17" s="153">
        <v>80</v>
      </c>
      <c r="H17" s="153" t="s">
        <v>73</v>
      </c>
    </row>
    <row r="18" spans="2:8">
      <c r="B18" s="131">
        <v>46</v>
      </c>
      <c r="C18" s="131" t="str">
        <f t="shared" si="0"/>
        <v>F</v>
      </c>
      <c r="D18" s="63"/>
      <c r="G18" s="153">
        <v>89</v>
      </c>
      <c r="H18" s="153" t="s">
        <v>71</v>
      </c>
    </row>
    <row r="19" spans="2:8">
      <c r="B19" s="131">
        <v>72</v>
      </c>
      <c r="C19" s="131" t="str">
        <f t="shared" si="0"/>
        <v>C</v>
      </c>
      <c r="D19" s="53"/>
    </row>
    <row r="20" spans="2:8">
      <c r="B20" s="131">
        <v>64</v>
      </c>
      <c r="C20" s="131" t="str">
        <f t="shared" si="0"/>
        <v>D</v>
      </c>
      <c r="D20" s="53"/>
    </row>
    <row r="21" spans="2:8">
      <c r="B21" s="131">
        <v>73</v>
      </c>
      <c r="C21" s="131" t="str">
        <f t="shared" si="0"/>
        <v>C</v>
      </c>
      <c r="D21" s="53"/>
    </row>
    <row r="22" spans="2:8">
      <c r="B22" s="131">
        <v>47</v>
      </c>
      <c r="C22" s="131" t="str">
        <f t="shared" si="0"/>
        <v>F</v>
      </c>
      <c r="D22" s="53"/>
    </row>
    <row r="23" spans="2:8">
      <c r="B23" s="131">
        <v>91</v>
      </c>
      <c r="C23" s="131" t="str">
        <f t="shared" si="0"/>
        <v>A</v>
      </c>
      <c r="D23" s="53"/>
    </row>
    <row r="24" spans="2:8">
      <c r="B24" s="131">
        <v>90</v>
      </c>
      <c r="C24" s="131" t="str">
        <f t="shared" si="0"/>
        <v>A</v>
      </c>
      <c r="D24" s="53"/>
    </row>
    <row r="25" spans="2:8">
      <c r="B25" s="131">
        <v>42</v>
      </c>
      <c r="C25" s="131" t="str">
        <f t="shared" si="0"/>
        <v>F</v>
      </c>
      <c r="D25" s="53"/>
    </row>
    <row r="26" spans="2:8">
      <c r="B26" s="131">
        <v>84</v>
      </c>
      <c r="C26" s="131" t="str">
        <f t="shared" si="0"/>
        <v>B</v>
      </c>
      <c r="D26" s="53"/>
    </row>
    <row r="27" spans="2:8">
      <c r="B27" s="131">
        <v>99</v>
      </c>
      <c r="C27" s="131" t="str">
        <f t="shared" si="0"/>
        <v>A</v>
      </c>
      <c r="D27" s="53"/>
    </row>
    <row r="28" spans="2:8">
      <c r="B28" s="131">
        <v>88</v>
      </c>
      <c r="C28" s="131" t="str">
        <f t="shared" si="0"/>
        <v>B</v>
      </c>
    </row>
    <row r="29" spans="2:8">
      <c r="B29" s="131">
        <v>93</v>
      </c>
      <c r="C29" s="131" t="str">
        <f t="shared" si="0"/>
        <v>A</v>
      </c>
    </row>
    <row r="30" spans="2:8">
      <c r="B30" s="131">
        <v>100</v>
      </c>
      <c r="C30" s="131" t="str">
        <f t="shared" si="0"/>
        <v>A</v>
      </c>
    </row>
    <row r="31" spans="2:8">
      <c r="B31" s="131">
        <v>97</v>
      </c>
      <c r="C31" s="131" t="str">
        <f t="shared" si="0"/>
        <v>A</v>
      </c>
    </row>
    <row r="32" spans="2:8">
      <c r="B32" s="131">
        <v>43</v>
      </c>
      <c r="C32" s="131" t="str">
        <f t="shared" si="0"/>
        <v>F</v>
      </c>
    </row>
    <row r="33" spans="2:3">
      <c r="B33" s="131">
        <v>48</v>
      </c>
      <c r="C33" s="131" t="str">
        <f t="shared" si="0"/>
        <v>F</v>
      </c>
    </row>
    <row r="34" spans="2:3">
      <c r="B34" s="131">
        <v>57</v>
      </c>
      <c r="C34" s="131" t="str">
        <f t="shared" si="0"/>
        <v>F</v>
      </c>
    </row>
    <row r="35" spans="2:3">
      <c r="B35" s="131">
        <v>56</v>
      </c>
      <c r="C35" s="131" t="str">
        <f t="shared" si="0"/>
        <v>F</v>
      </c>
    </row>
    <row r="36" spans="2:3">
      <c r="B36" s="131">
        <v>40</v>
      </c>
      <c r="C36" s="131" t="str">
        <f t="shared" si="0"/>
        <v>F</v>
      </c>
    </row>
    <row r="37" spans="2:3">
      <c r="B37" s="131">
        <v>75</v>
      </c>
      <c r="C37" s="131" t="str">
        <f t="shared" si="0"/>
        <v>C</v>
      </c>
    </row>
    <row r="38" spans="2:3">
      <c r="B38" s="131">
        <v>53</v>
      </c>
      <c r="C38" s="131" t="str">
        <f t="shared" si="0"/>
        <v>F</v>
      </c>
    </row>
    <row r="39" spans="2:3">
      <c r="B39" s="131">
        <v>46</v>
      </c>
      <c r="C39" s="131" t="str">
        <f t="shared" si="0"/>
        <v>F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B2:L24"/>
  <sheetViews>
    <sheetView showGridLines="0" zoomScale="145" zoomScaleNormal="145" workbookViewId="0">
      <selection activeCell="E12" sqref="E12"/>
    </sheetView>
  </sheetViews>
  <sheetFormatPr defaultColWidth="9.109375" defaultRowHeight="13.8"/>
  <cols>
    <col min="1" max="1" width="8.6640625" style="64" bestFit="1" customWidth="1"/>
    <col min="2" max="12" width="9.109375" style="64"/>
    <col min="13" max="13" width="26.33203125" style="64" customWidth="1"/>
    <col min="14" max="16384" width="9.109375" style="64"/>
  </cols>
  <sheetData>
    <row r="2" spans="2:12">
      <c r="B2" s="66" t="s">
        <v>130</v>
      </c>
      <c r="C2" s="67"/>
      <c r="D2" s="67"/>
      <c r="E2" s="67"/>
      <c r="F2" s="67"/>
      <c r="G2" s="67"/>
      <c r="H2" s="67"/>
      <c r="I2" s="67"/>
      <c r="J2" s="67"/>
      <c r="K2" s="67"/>
      <c r="L2" s="68"/>
    </row>
    <row r="3" spans="2:12">
      <c r="B3" s="69" t="s">
        <v>131</v>
      </c>
      <c r="C3" s="70"/>
      <c r="D3" s="70"/>
      <c r="E3" s="70"/>
      <c r="F3" s="70"/>
      <c r="G3" s="70"/>
      <c r="H3" s="70"/>
      <c r="I3" s="70"/>
      <c r="J3" s="70"/>
      <c r="K3" s="70"/>
      <c r="L3" s="71"/>
    </row>
    <row r="4" spans="2:12">
      <c r="B4" s="72" t="s">
        <v>132</v>
      </c>
      <c r="C4" s="73"/>
      <c r="D4" s="73"/>
      <c r="E4" s="73"/>
      <c r="F4" s="73"/>
      <c r="G4" s="73"/>
      <c r="H4" s="73"/>
      <c r="I4" s="73"/>
      <c r="J4" s="73"/>
      <c r="K4" s="73"/>
      <c r="L4" s="74"/>
    </row>
    <row r="6" spans="2:12">
      <c r="B6" s="66" t="s">
        <v>133</v>
      </c>
      <c r="C6" s="67"/>
      <c r="D6" s="67"/>
      <c r="E6" s="67"/>
      <c r="F6" s="67"/>
      <c r="G6" s="67"/>
      <c r="H6" s="67"/>
      <c r="I6" s="67"/>
      <c r="J6" s="67"/>
      <c r="K6" s="67"/>
      <c r="L6" s="68"/>
    </row>
    <row r="7" spans="2:12">
      <c r="B7" s="72" t="s">
        <v>134</v>
      </c>
      <c r="C7" s="73"/>
      <c r="D7" s="73"/>
      <c r="E7" s="73"/>
      <c r="F7" s="73"/>
      <c r="G7" s="73"/>
      <c r="H7" s="73"/>
      <c r="I7" s="73"/>
      <c r="J7" s="73"/>
      <c r="K7" s="73"/>
      <c r="L7" s="74"/>
    </row>
    <row r="9" spans="2:12">
      <c r="B9" s="75" t="s">
        <v>135</v>
      </c>
      <c r="D9" s="65" t="s">
        <v>136</v>
      </c>
      <c r="E9" s="65"/>
      <c r="F9" s="65">
        <v>15</v>
      </c>
    </row>
    <row r="10" spans="2:12">
      <c r="B10" s="65">
        <v>68</v>
      </c>
      <c r="D10" s="65" t="s">
        <v>137</v>
      </c>
      <c r="E10" s="65"/>
      <c r="F10" s="65">
        <v>23</v>
      </c>
    </row>
    <row r="11" spans="2:12">
      <c r="B11" s="65">
        <v>85</v>
      </c>
    </row>
    <row r="12" spans="2:12">
      <c r="B12" s="65">
        <v>61</v>
      </c>
      <c r="D12" s="125" t="s">
        <v>138</v>
      </c>
      <c r="E12" s="125">
        <f ca="1">SUM(INDIRECT(CONCATENATE(ADDRESS($F$9,2),":",ADDRESS($F$10,2))))</f>
        <v>660</v>
      </c>
      <c r="F12" s="125"/>
    </row>
    <row r="13" spans="2:12">
      <c r="B13" s="65">
        <v>90</v>
      </c>
    </row>
    <row r="14" spans="2:12">
      <c r="B14" s="65">
        <v>99</v>
      </c>
    </row>
    <row r="15" spans="2:12">
      <c r="B15" s="65">
        <v>55</v>
      </c>
    </row>
    <row r="16" spans="2:12">
      <c r="B16" s="65">
        <v>98</v>
      </c>
    </row>
    <row r="17" spans="2:2">
      <c r="B17" s="65">
        <v>80</v>
      </c>
    </row>
    <row r="18" spans="2:2">
      <c r="B18" s="65">
        <v>73</v>
      </c>
    </row>
    <row r="19" spans="2:2">
      <c r="B19" s="65">
        <v>55</v>
      </c>
    </row>
    <row r="20" spans="2:2">
      <c r="B20" s="65">
        <v>77</v>
      </c>
    </row>
    <row r="21" spans="2:2">
      <c r="B21" s="65">
        <v>66</v>
      </c>
    </row>
    <row r="22" spans="2:2">
      <c r="B22" s="65">
        <v>69</v>
      </c>
    </row>
    <row r="23" spans="2:2">
      <c r="B23" s="65">
        <v>87</v>
      </c>
    </row>
    <row r="24" spans="2:2">
      <c r="B24" s="65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2:N343"/>
  <sheetViews>
    <sheetView showGridLines="0" zoomScale="80" zoomScaleNormal="80" workbookViewId="0">
      <selection activeCell="B14" sqref="B14"/>
    </sheetView>
  </sheetViews>
  <sheetFormatPr defaultColWidth="9.109375" defaultRowHeight="15.6"/>
  <cols>
    <col min="1" max="1" width="10" style="76" bestFit="1" customWidth="1"/>
    <col min="2" max="2" width="12.6640625" style="76" bestFit="1" customWidth="1"/>
    <col min="3" max="3" width="20.88671875" style="76" customWidth="1"/>
    <col min="4" max="4" width="13.33203125" style="76" customWidth="1"/>
    <col min="5" max="5" width="10.6640625" style="76" bestFit="1" customWidth="1"/>
    <col min="6" max="6" width="9.109375" style="76"/>
    <col min="7" max="7" width="11.5546875" style="76" bestFit="1" customWidth="1"/>
    <col min="8" max="10" width="9.109375" style="76"/>
    <col min="11" max="11" width="6.33203125" style="76" bestFit="1" customWidth="1"/>
    <col min="12" max="12" width="34.5546875" style="76" bestFit="1" customWidth="1"/>
    <col min="13" max="13" width="21" style="76" bestFit="1" customWidth="1"/>
    <col min="14" max="14" width="12" style="76" bestFit="1" customWidth="1"/>
    <col min="15" max="16384" width="9.109375" style="76"/>
  </cols>
  <sheetData>
    <row r="2" spans="1:14">
      <c r="K2" s="77" t="s">
        <v>139</v>
      </c>
      <c r="L2" s="77" t="s">
        <v>140</v>
      </c>
      <c r="M2" s="77" t="s">
        <v>141</v>
      </c>
      <c r="N2" s="77" t="s">
        <v>142</v>
      </c>
    </row>
    <row r="3" spans="1:14" ht="18.600000000000001" thickBot="1">
      <c r="B3" s="78" t="s">
        <v>143</v>
      </c>
      <c r="C3" s="78"/>
      <c r="D3" s="78"/>
      <c r="E3" s="78"/>
      <c r="F3" s="79"/>
      <c r="G3" s="79"/>
      <c r="H3" s="79"/>
      <c r="I3" s="79"/>
      <c r="K3" s="80">
        <v>1024</v>
      </c>
      <c r="L3" s="80" t="s">
        <v>144</v>
      </c>
      <c r="M3" s="80" t="s">
        <v>145</v>
      </c>
      <c r="N3" s="80">
        <v>10500000</v>
      </c>
    </row>
    <row r="4" spans="1:14" ht="18">
      <c r="B4" s="79"/>
      <c r="C4" s="79"/>
      <c r="D4" s="79"/>
      <c r="E4" s="79"/>
      <c r="F4" s="79"/>
      <c r="G4" s="79"/>
      <c r="H4" s="79"/>
      <c r="I4" s="79"/>
      <c r="K4" s="80">
        <v>1025</v>
      </c>
      <c r="L4" s="80" t="s">
        <v>146</v>
      </c>
      <c r="M4" s="80" t="s">
        <v>146</v>
      </c>
      <c r="N4" s="80">
        <v>7206704</v>
      </c>
    </row>
    <row r="5" spans="1:14" ht="18">
      <c r="B5" s="79" t="s">
        <v>147</v>
      </c>
      <c r="C5" s="79"/>
      <c r="D5" s="79"/>
      <c r="E5" s="79"/>
      <c r="F5" s="79"/>
      <c r="G5" s="79"/>
      <c r="H5" s="79"/>
      <c r="I5" s="79"/>
      <c r="K5" s="80">
        <v>1026</v>
      </c>
      <c r="L5" s="80" t="s">
        <v>148</v>
      </c>
      <c r="M5" s="80" t="s">
        <v>149</v>
      </c>
      <c r="N5" s="80">
        <v>4399819</v>
      </c>
    </row>
    <row r="6" spans="1:14" ht="18.600000000000001" thickBot="1">
      <c r="B6" s="81"/>
      <c r="C6" s="79"/>
      <c r="D6" s="79"/>
      <c r="E6" s="79"/>
      <c r="F6" s="79"/>
      <c r="G6" s="79"/>
      <c r="H6" s="79"/>
      <c r="I6" s="79"/>
      <c r="K6" s="80">
        <v>1027</v>
      </c>
      <c r="L6" s="80" t="s">
        <v>150</v>
      </c>
      <c r="M6" s="80" t="s">
        <v>151</v>
      </c>
      <c r="N6" s="80">
        <v>3841396</v>
      </c>
    </row>
    <row r="7" spans="1:14" ht="18.600000000000001" thickBot="1">
      <c r="A7" s="82" t="s">
        <v>152</v>
      </c>
      <c r="B7" s="83" t="s">
        <v>153</v>
      </c>
      <c r="C7" s="83"/>
      <c r="D7" s="83"/>
      <c r="E7" s="83"/>
      <c r="F7" s="83"/>
      <c r="G7" s="83"/>
      <c r="H7" s="83"/>
      <c r="I7" s="84"/>
      <c r="K7" s="80">
        <v>1028</v>
      </c>
      <c r="L7" s="80" t="s">
        <v>154</v>
      </c>
      <c r="M7" s="80" t="s">
        <v>155</v>
      </c>
      <c r="N7" s="80">
        <v>2964638</v>
      </c>
    </row>
    <row r="8" spans="1:14" ht="36" customHeight="1" thickBot="1">
      <c r="A8" s="85" t="s">
        <v>156</v>
      </c>
      <c r="B8" s="86">
        <f>COUNTIF(M:M,"Rajasthan")</f>
        <v>14</v>
      </c>
      <c r="C8" s="87"/>
      <c r="D8" s="87"/>
      <c r="E8" s="87"/>
      <c r="F8" s="87"/>
      <c r="G8" s="87"/>
      <c r="H8" s="87"/>
      <c r="I8" s="88"/>
      <c r="K8" s="80">
        <v>1029</v>
      </c>
      <c r="L8" s="80" t="s">
        <v>157</v>
      </c>
      <c r="M8" s="80" t="s">
        <v>158</v>
      </c>
      <c r="N8" s="80">
        <v>2876710</v>
      </c>
    </row>
    <row r="9" spans="1:14" ht="20.25" customHeight="1" thickBot="1">
      <c r="A9" s="82" t="s">
        <v>152</v>
      </c>
      <c r="B9" s="83" t="s">
        <v>159</v>
      </c>
      <c r="C9" s="83"/>
      <c r="D9" s="83"/>
      <c r="E9" s="83"/>
      <c r="F9" s="83"/>
      <c r="G9" s="83"/>
      <c r="H9" s="83"/>
      <c r="I9" s="84"/>
      <c r="K9" s="80">
        <v>1030</v>
      </c>
      <c r="L9" s="80" t="s">
        <v>160</v>
      </c>
      <c r="M9" s="80" t="s">
        <v>161</v>
      </c>
      <c r="N9" s="80">
        <v>2660088</v>
      </c>
    </row>
    <row r="10" spans="1:14" ht="33" customHeight="1" thickBot="1">
      <c r="A10" s="85" t="s">
        <v>156</v>
      </c>
      <c r="B10" s="86">
        <f>SUMIFS(N:N,M:M,$M$7)</f>
        <v>10290295</v>
      </c>
      <c r="C10" s="87"/>
      <c r="D10" s="87"/>
      <c r="E10" s="87"/>
      <c r="F10" s="87"/>
      <c r="G10" s="87"/>
      <c r="H10" s="87"/>
      <c r="I10" s="88"/>
      <c r="K10" s="80">
        <v>1031</v>
      </c>
      <c r="L10" s="80" t="s">
        <v>162</v>
      </c>
      <c r="M10" s="80" t="s">
        <v>163</v>
      </c>
      <c r="N10" s="80">
        <v>1874409</v>
      </c>
    </row>
    <row r="11" spans="1:14" ht="33.75" customHeight="1">
      <c r="A11" s="89" t="s">
        <v>152</v>
      </c>
      <c r="B11" s="177" t="s">
        <v>164</v>
      </c>
      <c r="C11" s="177"/>
      <c r="D11" s="177"/>
      <c r="E11" s="177"/>
      <c r="F11" s="177"/>
      <c r="G11" s="177"/>
      <c r="H11" s="177"/>
      <c r="I11" s="178"/>
      <c r="K11" s="80">
        <v>1032</v>
      </c>
      <c r="L11" s="80" t="s">
        <v>165</v>
      </c>
      <c r="M11" s="80" t="s">
        <v>145</v>
      </c>
      <c r="N11" s="80">
        <v>1624752</v>
      </c>
    </row>
    <row r="12" spans="1:14" ht="15.75" customHeight="1">
      <c r="A12" s="90"/>
      <c r="B12" s="179"/>
      <c r="C12" s="179"/>
      <c r="D12" s="179"/>
      <c r="E12" s="179"/>
      <c r="F12" s="179"/>
      <c r="G12" s="179"/>
      <c r="H12" s="179"/>
      <c r="I12" s="180"/>
      <c r="K12" s="80">
        <v>1033</v>
      </c>
      <c r="L12" s="80" t="s">
        <v>166</v>
      </c>
      <c r="M12" s="80" t="s">
        <v>163</v>
      </c>
      <c r="N12" s="80">
        <v>1619115</v>
      </c>
    </row>
    <row r="13" spans="1:14" ht="16.2" thickBot="1">
      <c r="A13" s="91"/>
      <c r="B13" s="181"/>
      <c r="C13" s="181"/>
      <c r="D13" s="181"/>
      <c r="E13" s="181"/>
      <c r="F13" s="181"/>
      <c r="G13" s="181"/>
      <c r="H13" s="181"/>
      <c r="I13" s="182"/>
      <c r="K13" s="80">
        <v>1034</v>
      </c>
      <c r="L13" s="80" t="s">
        <v>167</v>
      </c>
      <c r="M13" s="80" t="s">
        <v>145</v>
      </c>
      <c r="N13" s="80">
        <v>1566651</v>
      </c>
    </row>
    <row r="14" spans="1:14" ht="36.75" customHeight="1" thickBot="1">
      <c r="A14" s="85" t="s">
        <v>156</v>
      </c>
      <c r="B14" s="86">
        <f>COUNTIF(N:N,"&gt;1000000")</f>
        <v>18</v>
      </c>
      <c r="C14" s="87">
        <f>SUMIFS(N:N,N:N,"&gt;1000000")</f>
        <v>49334670</v>
      </c>
      <c r="D14" s="87"/>
      <c r="E14" s="87"/>
      <c r="F14" s="87"/>
      <c r="G14" s="87"/>
      <c r="H14" s="87"/>
      <c r="I14" s="88"/>
      <c r="K14" s="80">
        <v>1035</v>
      </c>
      <c r="L14" s="80" t="s">
        <v>168</v>
      </c>
      <c r="M14" s="80" t="s">
        <v>158</v>
      </c>
      <c r="N14" s="80">
        <v>1498817</v>
      </c>
    </row>
    <row r="15" spans="1:14">
      <c r="A15" s="89" t="s">
        <v>152</v>
      </c>
      <c r="B15" s="183" t="s">
        <v>169</v>
      </c>
      <c r="C15" s="183"/>
      <c r="D15" s="183"/>
      <c r="E15" s="183"/>
      <c r="F15" s="183"/>
      <c r="G15" s="183"/>
      <c r="H15" s="183"/>
      <c r="I15" s="184"/>
      <c r="K15" s="80">
        <v>1036</v>
      </c>
      <c r="L15" s="80" t="s">
        <v>170</v>
      </c>
      <c r="M15" s="80" t="s">
        <v>171</v>
      </c>
      <c r="N15" s="80">
        <v>1458483</v>
      </c>
    </row>
    <row r="16" spans="1:14">
      <c r="A16" s="90"/>
      <c r="B16" s="185"/>
      <c r="C16" s="185"/>
      <c r="D16" s="185"/>
      <c r="E16" s="185"/>
      <c r="F16" s="185"/>
      <c r="G16" s="185"/>
      <c r="H16" s="185"/>
      <c r="I16" s="186"/>
      <c r="K16" s="80">
        <v>1037</v>
      </c>
      <c r="L16" s="80" t="s">
        <v>172</v>
      </c>
      <c r="M16" s="80" t="s">
        <v>173</v>
      </c>
      <c r="N16" s="80">
        <v>1091674</v>
      </c>
    </row>
    <row r="17" spans="1:14" ht="16.2" thickBot="1">
      <c r="A17" s="91"/>
      <c r="B17" s="187"/>
      <c r="C17" s="187"/>
      <c r="D17" s="187"/>
      <c r="E17" s="187"/>
      <c r="F17" s="187"/>
      <c r="G17" s="187"/>
      <c r="H17" s="187"/>
      <c r="I17" s="188"/>
      <c r="K17" s="80">
        <v>1038</v>
      </c>
      <c r="L17" s="80" t="s">
        <v>174</v>
      </c>
      <c r="M17" s="80" t="s">
        <v>173</v>
      </c>
      <c r="N17" s="80">
        <v>1062771</v>
      </c>
    </row>
    <row r="18" spans="1:14" ht="18.600000000000001" thickBot="1">
      <c r="A18" s="85" t="s">
        <v>156</v>
      </c>
      <c r="B18" s="86">
        <f>COUNTIFS(N:N,"&lt;100000",M:M,"Maharashtra")+COUNTIFS(N:N,"&lt;100000",M:M,"Madhya Pradesh")</f>
        <v>6</v>
      </c>
      <c r="C18" s="87"/>
      <c r="D18" s="87"/>
      <c r="E18" s="87"/>
      <c r="F18" s="87"/>
      <c r="G18" s="87"/>
      <c r="H18" s="87"/>
      <c r="I18" s="88"/>
      <c r="K18" s="80">
        <v>1039</v>
      </c>
      <c r="L18" s="80" t="s">
        <v>175</v>
      </c>
      <c r="M18" s="80" t="s">
        <v>176</v>
      </c>
      <c r="N18" s="80">
        <v>1042740</v>
      </c>
    </row>
    <row r="19" spans="1:14">
      <c r="K19" s="80">
        <v>1040</v>
      </c>
      <c r="L19" s="80" t="s">
        <v>177</v>
      </c>
      <c r="M19" s="80" t="s">
        <v>158</v>
      </c>
      <c r="N19" s="80">
        <v>1031346</v>
      </c>
    </row>
    <row r="20" spans="1:14">
      <c r="K20" s="80">
        <v>1041</v>
      </c>
      <c r="L20" s="80" t="s">
        <v>178</v>
      </c>
      <c r="M20" s="80" t="s">
        <v>145</v>
      </c>
      <c r="N20" s="80">
        <v>1014557</v>
      </c>
    </row>
    <row r="21" spans="1:14">
      <c r="K21" s="80">
        <v>1042</v>
      </c>
      <c r="L21" s="80" t="s">
        <v>179</v>
      </c>
      <c r="M21" s="80" t="s">
        <v>151</v>
      </c>
      <c r="N21" s="80">
        <v>977856</v>
      </c>
    </row>
    <row r="22" spans="1:14">
      <c r="K22" s="80">
        <v>1043</v>
      </c>
      <c r="L22" s="80" t="s">
        <v>180</v>
      </c>
      <c r="M22" s="80" t="s">
        <v>149</v>
      </c>
      <c r="N22" s="80">
        <v>950435</v>
      </c>
    </row>
    <row r="23" spans="1:14">
      <c r="K23" s="80">
        <v>1044</v>
      </c>
      <c r="L23" s="80" t="s">
        <v>181</v>
      </c>
      <c r="M23" s="80" t="s">
        <v>163</v>
      </c>
      <c r="N23" s="80">
        <v>929270</v>
      </c>
    </row>
    <row r="24" spans="1:14">
      <c r="K24" s="80">
        <v>1045</v>
      </c>
      <c r="L24" s="80" t="s">
        <v>182</v>
      </c>
      <c r="M24" s="80" t="s">
        <v>183</v>
      </c>
      <c r="N24" s="80">
        <v>917243</v>
      </c>
    </row>
    <row r="25" spans="1:14">
      <c r="K25" s="80">
        <v>1046</v>
      </c>
      <c r="L25" s="80" t="s">
        <v>184</v>
      </c>
      <c r="M25" s="80" t="s">
        <v>185</v>
      </c>
      <c r="N25" s="80">
        <v>892506</v>
      </c>
    </row>
    <row r="26" spans="1:14">
      <c r="K26" s="80">
        <v>1047</v>
      </c>
      <c r="L26" s="80" t="s">
        <v>186</v>
      </c>
      <c r="M26" s="80" t="s">
        <v>163</v>
      </c>
      <c r="N26" s="80">
        <v>891790</v>
      </c>
    </row>
    <row r="27" spans="1:14">
      <c r="K27" s="80">
        <v>1048</v>
      </c>
      <c r="L27" s="80" t="s">
        <v>187</v>
      </c>
      <c r="M27" s="80" t="s">
        <v>151</v>
      </c>
      <c r="N27" s="80">
        <v>816321</v>
      </c>
    </row>
    <row r="28" spans="1:14">
      <c r="K28" s="80">
        <v>1049</v>
      </c>
      <c r="L28" s="80" t="s">
        <v>188</v>
      </c>
      <c r="M28" s="80" t="s">
        <v>145</v>
      </c>
      <c r="N28" s="80">
        <v>803389</v>
      </c>
    </row>
    <row r="29" spans="1:14">
      <c r="K29" s="80">
        <v>1050</v>
      </c>
      <c r="L29" s="80" t="s">
        <v>189</v>
      </c>
      <c r="M29" s="80" t="s">
        <v>163</v>
      </c>
      <c r="N29" s="80">
        <v>792858</v>
      </c>
    </row>
    <row r="30" spans="1:14">
      <c r="K30" s="80">
        <v>1051</v>
      </c>
      <c r="L30" s="80" t="s">
        <v>190</v>
      </c>
      <c r="M30" s="80" t="s">
        <v>163</v>
      </c>
      <c r="N30" s="80">
        <v>753778</v>
      </c>
    </row>
    <row r="31" spans="1:14">
      <c r="K31" s="80">
        <v>1052</v>
      </c>
      <c r="L31" s="80" t="s">
        <v>191</v>
      </c>
      <c r="M31" s="80" t="s">
        <v>155</v>
      </c>
      <c r="N31" s="80">
        <v>752037</v>
      </c>
    </row>
    <row r="32" spans="1:14">
      <c r="K32" s="80">
        <v>1053</v>
      </c>
      <c r="L32" s="80" t="s">
        <v>192</v>
      </c>
      <c r="M32" s="80" t="s">
        <v>173</v>
      </c>
      <c r="N32" s="80">
        <v>741927</v>
      </c>
    </row>
    <row r="33" spans="11:14">
      <c r="K33" s="80">
        <v>1054</v>
      </c>
      <c r="L33" s="80" t="s">
        <v>193</v>
      </c>
      <c r="M33" s="80" t="s">
        <v>176</v>
      </c>
      <c r="N33" s="80">
        <v>708835</v>
      </c>
    </row>
    <row r="34" spans="11:14">
      <c r="K34" s="80">
        <v>1055</v>
      </c>
      <c r="L34" s="80" t="s">
        <v>194</v>
      </c>
      <c r="M34" s="80" t="s">
        <v>195</v>
      </c>
      <c r="N34" s="80">
        <v>703592</v>
      </c>
    </row>
    <row r="35" spans="11:14">
      <c r="K35" s="80">
        <v>1056</v>
      </c>
      <c r="L35" s="80" t="s">
        <v>196</v>
      </c>
      <c r="M35" s="80" t="s">
        <v>155</v>
      </c>
      <c r="N35" s="80">
        <v>701827</v>
      </c>
    </row>
    <row r="36" spans="11:14">
      <c r="K36" s="80">
        <v>1057</v>
      </c>
      <c r="L36" s="80" t="s">
        <v>197</v>
      </c>
      <c r="M36" s="80" t="s">
        <v>173</v>
      </c>
      <c r="N36" s="80">
        <v>690765</v>
      </c>
    </row>
    <row r="37" spans="11:14">
      <c r="K37" s="80">
        <v>1058</v>
      </c>
      <c r="L37" s="80" t="s">
        <v>198</v>
      </c>
      <c r="M37" s="80" t="s">
        <v>171</v>
      </c>
      <c r="N37" s="80">
        <v>666279</v>
      </c>
    </row>
    <row r="38" spans="11:14">
      <c r="K38" s="80">
        <v>1059</v>
      </c>
      <c r="L38" s="80" t="s">
        <v>199</v>
      </c>
      <c r="M38" s="80" t="s">
        <v>145</v>
      </c>
      <c r="N38" s="80">
        <v>656925</v>
      </c>
    </row>
    <row r="39" spans="11:14">
      <c r="K39" s="80">
        <v>1060</v>
      </c>
      <c r="L39" s="80" t="s">
        <v>200</v>
      </c>
      <c r="M39" s="80" t="s">
        <v>161</v>
      </c>
      <c r="N39" s="80">
        <v>648298</v>
      </c>
    </row>
    <row r="40" spans="11:14">
      <c r="K40" s="80">
        <v>1061</v>
      </c>
      <c r="L40" s="80" t="s">
        <v>201</v>
      </c>
      <c r="M40" s="80" t="s">
        <v>145</v>
      </c>
      <c r="N40" s="80">
        <v>604215</v>
      </c>
    </row>
    <row r="41" spans="11:14">
      <c r="K41" s="80">
        <v>1062</v>
      </c>
      <c r="L41" s="80" t="s">
        <v>202</v>
      </c>
      <c r="M41" s="80" t="s">
        <v>203</v>
      </c>
      <c r="N41" s="80">
        <v>599306</v>
      </c>
    </row>
    <row r="42" spans="11:14">
      <c r="K42" s="80">
        <v>1063</v>
      </c>
      <c r="L42" s="80" t="s">
        <v>204</v>
      </c>
      <c r="M42" s="80" t="s">
        <v>163</v>
      </c>
      <c r="N42" s="80">
        <v>587211</v>
      </c>
    </row>
    <row r="43" spans="11:14">
      <c r="K43" s="80">
        <v>1064</v>
      </c>
      <c r="L43" s="80" t="s">
        <v>205</v>
      </c>
      <c r="M43" s="80" t="s">
        <v>206</v>
      </c>
      <c r="N43" s="80">
        <v>584342</v>
      </c>
    </row>
    <row r="44" spans="11:14">
      <c r="K44" s="80">
        <v>1065</v>
      </c>
      <c r="L44" s="80" t="s">
        <v>207</v>
      </c>
      <c r="M44" s="80" t="s">
        <v>145</v>
      </c>
      <c r="N44" s="80">
        <v>573272</v>
      </c>
    </row>
    <row r="45" spans="11:14">
      <c r="K45" s="80">
        <v>1066</v>
      </c>
      <c r="L45" s="80" t="s">
        <v>208</v>
      </c>
      <c r="M45" s="80" t="s">
        <v>209</v>
      </c>
      <c r="N45" s="80">
        <v>564589</v>
      </c>
    </row>
    <row r="46" spans="11:14">
      <c r="K46" s="80">
        <v>1067</v>
      </c>
      <c r="L46" s="80" t="s">
        <v>210</v>
      </c>
      <c r="M46" s="80" t="s">
        <v>158</v>
      </c>
      <c r="N46" s="80">
        <v>559407</v>
      </c>
    </row>
    <row r="47" spans="11:14">
      <c r="K47" s="80">
        <v>1068</v>
      </c>
      <c r="L47" s="80" t="s">
        <v>211</v>
      </c>
      <c r="M47" s="80" t="s">
        <v>171</v>
      </c>
      <c r="N47" s="80">
        <v>537371</v>
      </c>
    </row>
    <row r="48" spans="11:14">
      <c r="K48" s="80">
        <v>1069</v>
      </c>
      <c r="L48" s="80" t="s">
        <v>212</v>
      </c>
      <c r="M48" s="80" t="s">
        <v>209</v>
      </c>
      <c r="N48" s="80">
        <v>524006</v>
      </c>
    </row>
    <row r="49" spans="11:14">
      <c r="K49" s="80">
        <v>1070</v>
      </c>
      <c r="L49" s="80" t="s">
        <v>213</v>
      </c>
      <c r="M49" s="80" t="s">
        <v>145</v>
      </c>
      <c r="N49" s="80">
        <v>517083</v>
      </c>
    </row>
    <row r="50" spans="11:14">
      <c r="K50" s="80">
        <v>1071</v>
      </c>
      <c r="L50" s="80" t="s">
        <v>214</v>
      </c>
      <c r="M50" s="80" t="s">
        <v>176</v>
      </c>
      <c r="N50" s="80">
        <v>509510</v>
      </c>
    </row>
    <row r="51" spans="11:14">
      <c r="K51" s="80">
        <v>1072</v>
      </c>
      <c r="L51" s="80" t="s">
        <v>215</v>
      </c>
      <c r="M51" s="80" t="s">
        <v>163</v>
      </c>
      <c r="N51" s="80">
        <v>505566</v>
      </c>
    </row>
    <row r="52" spans="11:14">
      <c r="K52" s="80">
        <v>1073</v>
      </c>
      <c r="L52" s="80" t="s">
        <v>216</v>
      </c>
      <c r="M52" s="80" t="s">
        <v>216</v>
      </c>
      <c r="N52" s="80">
        <v>504094</v>
      </c>
    </row>
    <row r="53" spans="11:14">
      <c r="K53" s="80">
        <v>1074</v>
      </c>
      <c r="L53" s="80" t="s">
        <v>217</v>
      </c>
      <c r="M53" s="80" t="s">
        <v>161</v>
      </c>
      <c r="N53" s="80">
        <v>480692</v>
      </c>
    </row>
    <row r="54" spans="11:14">
      <c r="K54" s="80">
        <v>1075</v>
      </c>
      <c r="L54" s="80" t="s">
        <v>218</v>
      </c>
      <c r="M54" s="80" t="s">
        <v>163</v>
      </c>
      <c r="N54" s="80">
        <v>480520</v>
      </c>
    </row>
    <row r="55" spans="11:14">
      <c r="K55" s="80">
        <v>1076</v>
      </c>
      <c r="L55" s="80" t="s">
        <v>219</v>
      </c>
      <c r="M55" s="80" t="s">
        <v>155</v>
      </c>
      <c r="N55" s="80">
        <v>471051</v>
      </c>
    </row>
    <row r="56" spans="11:14">
      <c r="K56" s="80">
        <v>1077</v>
      </c>
      <c r="L56" s="80" t="s">
        <v>220</v>
      </c>
      <c r="M56" s="80" t="s">
        <v>203</v>
      </c>
      <c r="N56" s="80">
        <v>460577</v>
      </c>
    </row>
    <row r="57" spans="11:14">
      <c r="K57" s="80">
        <v>1078</v>
      </c>
      <c r="L57" s="80" t="s">
        <v>221</v>
      </c>
      <c r="M57" s="80" t="s">
        <v>163</v>
      </c>
      <c r="N57" s="80">
        <v>454156</v>
      </c>
    </row>
    <row r="58" spans="11:14">
      <c r="K58" s="80">
        <v>1079</v>
      </c>
      <c r="L58" s="80" t="s">
        <v>222</v>
      </c>
      <c r="M58" s="80" t="s">
        <v>155</v>
      </c>
      <c r="N58" s="80">
        <v>447657</v>
      </c>
    </row>
    <row r="59" spans="11:14">
      <c r="K59" s="80">
        <v>1080</v>
      </c>
      <c r="L59" s="80" t="s">
        <v>223</v>
      </c>
      <c r="M59" s="80" t="s">
        <v>224</v>
      </c>
      <c r="N59" s="80">
        <v>438639</v>
      </c>
    </row>
    <row r="60" spans="11:14">
      <c r="K60" s="80">
        <v>1081</v>
      </c>
      <c r="L60" s="80" t="s">
        <v>225</v>
      </c>
      <c r="M60" s="80" t="s">
        <v>163</v>
      </c>
      <c r="N60" s="80">
        <v>429214</v>
      </c>
    </row>
    <row r="61" spans="11:14">
      <c r="K61" s="80">
        <v>1082</v>
      </c>
      <c r="L61" s="80" t="s">
        <v>226</v>
      </c>
      <c r="M61" s="80" t="s">
        <v>149</v>
      </c>
      <c r="N61" s="80">
        <v>425836</v>
      </c>
    </row>
    <row r="62" spans="11:14">
      <c r="K62" s="80">
        <v>1083</v>
      </c>
      <c r="L62" s="80" t="s">
        <v>227</v>
      </c>
      <c r="M62" s="80" t="s">
        <v>145</v>
      </c>
      <c r="N62" s="80">
        <v>421576</v>
      </c>
    </row>
    <row r="63" spans="11:14">
      <c r="K63" s="80">
        <v>1084</v>
      </c>
      <c r="L63" s="80" t="s">
        <v>228</v>
      </c>
      <c r="M63" s="80" t="s">
        <v>209</v>
      </c>
      <c r="N63" s="80">
        <v>419831</v>
      </c>
    </row>
    <row r="64" spans="11:14">
      <c r="K64" s="80">
        <v>1085</v>
      </c>
      <c r="L64" s="80" t="s">
        <v>229</v>
      </c>
      <c r="M64" s="80" t="s">
        <v>171</v>
      </c>
      <c r="N64" s="80">
        <v>416289</v>
      </c>
    </row>
    <row r="65" spans="11:14">
      <c r="K65" s="80">
        <v>1086</v>
      </c>
      <c r="L65" s="80" t="s">
        <v>230</v>
      </c>
      <c r="M65" s="80" t="s">
        <v>231</v>
      </c>
      <c r="N65" s="80">
        <v>411542</v>
      </c>
    </row>
    <row r="66" spans="11:14">
      <c r="K66" s="80">
        <v>1087</v>
      </c>
      <c r="L66" s="80" t="s">
        <v>232</v>
      </c>
      <c r="M66" s="80" t="s">
        <v>145</v>
      </c>
      <c r="N66" s="80">
        <v>406370</v>
      </c>
    </row>
    <row r="67" spans="11:14">
      <c r="K67" s="80">
        <v>1088</v>
      </c>
      <c r="L67" s="80" t="s">
        <v>233</v>
      </c>
      <c r="M67" s="80" t="s">
        <v>231</v>
      </c>
      <c r="N67" s="80">
        <v>403418</v>
      </c>
    </row>
    <row r="68" spans="11:14">
      <c r="K68" s="80">
        <v>1089</v>
      </c>
      <c r="L68" s="80" t="s">
        <v>234</v>
      </c>
      <c r="M68" s="80" t="s">
        <v>171</v>
      </c>
      <c r="N68" s="80">
        <v>402700</v>
      </c>
    </row>
    <row r="69" spans="11:14">
      <c r="K69" s="80">
        <v>1090</v>
      </c>
      <c r="L69" s="80" t="s">
        <v>235</v>
      </c>
      <c r="M69" s="80" t="s">
        <v>158</v>
      </c>
      <c r="N69" s="80">
        <v>402338</v>
      </c>
    </row>
    <row r="70" spans="11:14">
      <c r="K70" s="80">
        <v>1091</v>
      </c>
      <c r="L70" s="80" t="s">
        <v>236</v>
      </c>
      <c r="M70" s="80" t="s">
        <v>151</v>
      </c>
      <c r="N70" s="80">
        <v>387223</v>
      </c>
    </row>
    <row r="71" spans="11:14">
      <c r="K71" s="80">
        <v>1092</v>
      </c>
      <c r="L71" s="80" t="s">
        <v>237</v>
      </c>
      <c r="M71" s="80" t="s">
        <v>224</v>
      </c>
      <c r="N71" s="80">
        <v>386159</v>
      </c>
    </row>
    <row r="72" spans="11:14">
      <c r="K72" s="80">
        <v>1093</v>
      </c>
      <c r="L72" s="80" t="s">
        <v>238</v>
      </c>
      <c r="M72" s="80" t="s">
        <v>145</v>
      </c>
      <c r="N72" s="80">
        <v>379070</v>
      </c>
    </row>
    <row r="73" spans="11:14">
      <c r="K73" s="80">
        <v>1094</v>
      </c>
      <c r="L73" s="80" t="s">
        <v>239</v>
      </c>
      <c r="M73" s="80" t="s">
        <v>163</v>
      </c>
      <c r="N73" s="80">
        <v>374945</v>
      </c>
    </row>
    <row r="74" spans="11:14">
      <c r="K74" s="80">
        <v>1095</v>
      </c>
      <c r="L74" s="80" t="s">
        <v>240</v>
      </c>
      <c r="M74" s="80" t="s">
        <v>145</v>
      </c>
      <c r="N74" s="80">
        <v>369077</v>
      </c>
    </row>
    <row r="75" spans="11:14">
      <c r="K75" s="80">
        <v>1096</v>
      </c>
      <c r="L75" s="80" t="s">
        <v>241</v>
      </c>
      <c r="M75" s="80" t="s">
        <v>151</v>
      </c>
      <c r="N75" s="80">
        <v>366712</v>
      </c>
    </row>
    <row r="76" spans="11:14">
      <c r="K76" s="80">
        <v>1097</v>
      </c>
      <c r="L76" s="80" t="s">
        <v>242</v>
      </c>
      <c r="M76" s="80" t="s">
        <v>173</v>
      </c>
      <c r="N76" s="80">
        <v>362266</v>
      </c>
    </row>
    <row r="77" spans="11:14">
      <c r="K77" s="80">
        <v>1098</v>
      </c>
      <c r="L77" s="80" t="s">
        <v>243</v>
      </c>
      <c r="M77" s="80" t="s">
        <v>145</v>
      </c>
      <c r="N77" s="80">
        <v>342595</v>
      </c>
    </row>
    <row r="78" spans="11:14">
      <c r="K78" s="80">
        <v>1099</v>
      </c>
      <c r="L78" s="80" t="s">
        <v>244</v>
      </c>
      <c r="M78" s="80" t="s">
        <v>158</v>
      </c>
      <c r="N78" s="80">
        <v>341637</v>
      </c>
    </row>
    <row r="79" spans="11:14">
      <c r="K79" s="80">
        <v>1100</v>
      </c>
      <c r="L79" s="80" t="s">
        <v>245</v>
      </c>
      <c r="M79" s="80" t="s">
        <v>203</v>
      </c>
      <c r="N79" s="80">
        <v>333683</v>
      </c>
    </row>
    <row r="80" spans="11:14">
      <c r="K80" s="80">
        <v>1101</v>
      </c>
      <c r="L80" s="80" t="s">
        <v>246</v>
      </c>
      <c r="M80" s="80" t="s">
        <v>145</v>
      </c>
      <c r="N80" s="80">
        <v>328034</v>
      </c>
    </row>
    <row r="81" spans="11:14">
      <c r="K81" s="80">
        <v>1102</v>
      </c>
      <c r="L81" s="80" t="s">
        <v>247</v>
      </c>
      <c r="M81" s="80" t="s">
        <v>161</v>
      </c>
      <c r="N81" s="80">
        <v>326399</v>
      </c>
    </row>
    <row r="82" spans="11:14">
      <c r="K82" s="80">
        <v>1103</v>
      </c>
      <c r="L82" s="80" t="s">
        <v>248</v>
      </c>
      <c r="M82" s="80" t="s">
        <v>155</v>
      </c>
      <c r="N82" s="80">
        <v>324851</v>
      </c>
    </row>
    <row r="83" spans="11:14">
      <c r="K83" s="80">
        <v>1104</v>
      </c>
      <c r="L83" s="80" t="s">
        <v>249</v>
      </c>
      <c r="M83" s="80" t="s">
        <v>155</v>
      </c>
      <c r="N83" s="80">
        <v>316606</v>
      </c>
    </row>
    <row r="84" spans="11:14">
      <c r="K84" s="80">
        <v>1105</v>
      </c>
      <c r="L84" s="80" t="s">
        <v>250</v>
      </c>
      <c r="M84" s="80" t="s">
        <v>171</v>
      </c>
      <c r="N84" s="80">
        <v>308571</v>
      </c>
    </row>
    <row r="85" spans="11:14">
      <c r="K85" s="80">
        <v>1106</v>
      </c>
      <c r="L85" s="80" t="s">
        <v>251</v>
      </c>
      <c r="M85" s="80" t="s">
        <v>145</v>
      </c>
      <c r="N85" s="80">
        <v>307297</v>
      </c>
    </row>
    <row r="86" spans="11:14">
      <c r="K86" s="80">
        <v>1107</v>
      </c>
      <c r="L86" s="80" t="s">
        <v>252</v>
      </c>
      <c r="M86" s="80" t="s">
        <v>149</v>
      </c>
      <c r="N86" s="80">
        <v>304952</v>
      </c>
    </row>
    <row r="87" spans="11:14">
      <c r="K87" s="80">
        <v>1108</v>
      </c>
      <c r="L87" s="80" t="s">
        <v>253</v>
      </c>
      <c r="M87" s="80" t="s">
        <v>161</v>
      </c>
      <c r="N87" s="80">
        <v>304099</v>
      </c>
    </row>
    <row r="88" spans="11:14">
      <c r="K88" s="80">
        <v>1109</v>
      </c>
      <c r="L88" s="80" t="s">
        <v>254</v>
      </c>
      <c r="M88" s="80" t="s">
        <v>146</v>
      </c>
      <c r="N88" s="80">
        <v>301297</v>
      </c>
    </row>
    <row r="89" spans="11:14">
      <c r="K89" s="80">
        <v>1110</v>
      </c>
      <c r="L89" s="80" t="s">
        <v>255</v>
      </c>
      <c r="M89" s="80" t="s">
        <v>163</v>
      </c>
      <c r="N89" s="80">
        <v>300850</v>
      </c>
    </row>
    <row r="90" spans="11:14">
      <c r="K90" s="80">
        <v>1111</v>
      </c>
      <c r="L90" s="80" t="s">
        <v>256</v>
      </c>
      <c r="M90" s="80" t="s">
        <v>183</v>
      </c>
      <c r="N90" s="80">
        <v>291675</v>
      </c>
    </row>
    <row r="91" spans="11:14">
      <c r="K91" s="80">
        <v>1112</v>
      </c>
      <c r="L91" s="80" t="s">
        <v>257</v>
      </c>
      <c r="M91" s="80" t="s">
        <v>155</v>
      </c>
      <c r="N91" s="80">
        <v>279980</v>
      </c>
    </row>
    <row r="92" spans="11:14">
      <c r="K92" s="80">
        <v>1113</v>
      </c>
      <c r="L92" s="80" t="s">
        <v>258</v>
      </c>
      <c r="M92" s="80" t="s">
        <v>145</v>
      </c>
      <c r="N92" s="80">
        <v>278317</v>
      </c>
    </row>
    <row r="93" spans="11:14">
      <c r="K93" s="80">
        <v>1114</v>
      </c>
      <c r="L93" s="80" t="s">
        <v>259</v>
      </c>
      <c r="M93" s="80" t="s">
        <v>149</v>
      </c>
      <c r="N93" s="80">
        <v>275990</v>
      </c>
    </row>
    <row r="94" spans="11:14">
      <c r="K94" s="80">
        <v>1115</v>
      </c>
      <c r="L94" s="80" t="s">
        <v>260</v>
      </c>
      <c r="M94" s="80" t="s">
        <v>145</v>
      </c>
      <c r="N94" s="80">
        <v>275083</v>
      </c>
    </row>
    <row r="95" spans="11:14">
      <c r="K95" s="80">
        <v>1116</v>
      </c>
      <c r="L95" s="80" t="s">
        <v>261</v>
      </c>
      <c r="M95" s="80" t="s">
        <v>161</v>
      </c>
      <c r="N95" s="80">
        <v>273304</v>
      </c>
    </row>
    <row r="96" spans="11:14">
      <c r="K96" s="80">
        <v>1117</v>
      </c>
      <c r="L96" s="80" t="s">
        <v>262</v>
      </c>
      <c r="M96" s="80" t="s">
        <v>263</v>
      </c>
      <c r="N96" s="80">
        <v>270159</v>
      </c>
    </row>
    <row r="97" spans="11:14">
      <c r="K97" s="80">
        <v>1118</v>
      </c>
      <c r="L97" s="80" t="s">
        <v>264</v>
      </c>
      <c r="M97" s="80" t="s">
        <v>149</v>
      </c>
      <c r="N97" s="80">
        <v>266889</v>
      </c>
    </row>
    <row r="98" spans="11:14">
      <c r="K98" s="80">
        <v>1119</v>
      </c>
      <c r="L98" s="80" t="s">
        <v>265</v>
      </c>
      <c r="M98" s="80" t="s">
        <v>161</v>
      </c>
      <c r="N98" s="80">
        <v>266082</v>
      </c>
    </row>
    <row r="99" spans="11:14">
      <c r="K99" s="80">
        <v>1120</v>
      </c>
      <c r="L99" s="80" t="s">
        <v>266</v>
      </c>
      <c r="M99" s="80" t="s">
        <v>149</v>
      </c>
      <c r="N99" s="80">
        <v>262188</v>
      </c>
    </row>
    <row r="100" spans="11:14">
      <c r="K100" s="80">
        <v>1121</v>
      </c>
      <c r="L100" s="80" t="s">
        <v>267</v>
      </c>
      <c r="M100" s="80" t="s">
        <v>183</v>
      </c>
      <c r="N100" s="80">
        <v>253225</v>
      </c>
    </row>
    <row r="101" spans="11:14">
      <c r="K101" s="80">
        <v>1122</v>
      </c>
      <c r="L101" s="80" t="s">
        <v>268</v>
      </c>
      <c r="M101" s="80" t="s">
        <v>161</v>
      </c>
      <c r="N101" s="80">
        <v>245391</v>
      </c>
    </row>
    <row r="102" spans="11:14">
      <c r="K102" s="80">
        <v>1123</v>
      </c>
      <c r="L102" s="80" t="s">
        <v>269</v>
      </c>
      <c r="M102" s="80" t="s">
        <v>149</v>
      </c>
      <c r="N102" s="80">
        <v>245079</v>
      </c>
    </row>
    <row r="103" spans="11:14">
      <c r="K103" s="80">
        <v>1124</v>
      </c>
      <c r="L103" s="80" t="s">
        <v>270</v>
      </c>
      <c r="M103" s="80" t="s">
        <v>163</v>
      </c>
      <c r="N103" s="80">
        <v>243742</v>
      </c>
    </row>
    <row r="104" spans="11:14">
      <c r="K104" s="80">
        <v>1125</v>
      </c>
      <c r="L104" s="80" t="s">
        <v>271</v>
      </c>
      <c r="M104" s="80" t="s">
        <v>145</v>
      </c>
      <c r="N104" s="80">
        <v>242193</v>
      </c>
    </row>
    <row r="105" spans="11:14">
      <c r="K105" s="80">
        <v>1126</v>
      </c>
      <c r="L105" s="80" t="s">
        <v>272</v>
      </c>
      <c r="M105" s="80" t="s">
        <v>183</v>
      </c>
      <c r="N105" s="80">
        <v>241107</v>
      </c>
    </row>
    <row r="106" spans="11:14">
      <c r="K106" s="80">
        <v>1127</v>
      </c>
      <c r="L106" s="80" t="s">
        <v>273</v>
      </c>
      <c r="M106" s="80" t="s">
        <v>155</v>
      </c>
      <c r="N106" s="80">
        <v>241034</v>
      </c>
    </row>
    <row r="107" spans="11:14">
      <c r="K107" s="80">
        <v>1128</v>
      </c>
      <c r="L107" s="80" t="s">
        <v>274</v>
      </c>
      <c r="M107" s="80" t="s">
        <v>163</v>
      </c>
      <c r="N107" s="80">
        <v>240609</v>
      </c>
    </row>
    <row r="108" spans="11:14">
      <c r="K108" s="80">
        <v>1129</v>
      </c>
      <c r="L108" s="80" t="s">
        <v>275</v>
      </c>
      <c r="M108" s="80" t="s">
        <v>176</v>
      </c>
      <c r="N108" s="80">
        <v>238368</v>
      </c>
    </row>
    <row r="109" spans="11:14">
      <c r="K109" s="80">
        <v>1130</v>
      </c>
      <c r="L109" s="80" t="s">
        <v>276</v>
      </c>
      <c r="M109" s="80" t="s">
        <v>163</v>
      </c>
      <c r="N109" s="80">
        <v>237713</v>
      </c>
    </row>
    <row r="110" spans="11:14">
      <c r="K110" s="80">
        <v>1131</v>
      </c>
      <c r="L110" s="80" t="s">
        <v>277</v>
      </c>
      <c r="M110" s="80" t="s">
        <v>155</v>
      </c>
      <c r="N110" s="80">
        <v>236800</v>
      </c>
    </row>
    <row r="111" spans="11:14">
      <c r="K111" s="80">
        <v>1132</v>
      </c>
      <c r="L111" s="80" t="s">
        <v>278</v>
      </c>
      <c r="M111" s="80" t="s">
        <v>151</v>
      </c>
      <c r="N111" s="80">
        <v>235661</v>
      </c>
    </row>
    <row r="112" spans="11:14">
      <c r="K112" s="80">
        <v>1133</v>
      </c>
      <c r="L112" s="80" t="s">
        <v>279</v>
      </c>
      <c r="M112" s="80" t="s">
        <v>195</v>
      </c>
      <c r="N112" s="80">
        <v>233400</v>
      </c>
    </row>
    <row r="113" spans="11:14">
      <c r="K113" s="80">
        <v>1134</v>
      </c>
      <c r="L113" s="80" t="s">
        <v>280</v>
      </c>
      <c r="M113" s="80" t="s">
        <v>149</v>
      </c>
      <c r="N113" s="80">
        <v>232811</v>
      </c>
    </row>
    <row r="114" spans="11:14">
      <c r="K114" s="80">
        <v>1135</v>
      </c>
      <c r="L114" s="80" t="s">
        <v>281</v>
      </c>
      <c r="M114" s="80" t="s">
        <v>163</v>
      </c>
      <c r="N114" s="80">
        <v>226691</v>
      </c>
    </row>
    <row r="115" spans="11:14">
      <c r="K115" s="80">
        <v>1136</v>
      </c>
      <c r="L115" s="80" t="s">
        <v>282</v>
      </c>
      <c r="M115" s="80" t="s">
        <v>145</v>
      </c>
      <c r="N115" s="80">
        <v>226105</v>
      </c>
    </row>
    <row r="116" spans="11:14">
      <c r="K116" s="80">
        <v>1137</v>
      </c>
      <c r="L116" s="80" t="s">
        <v>283</v>
      </c>
      <c r="M116" s="80" t="s">
        <v>149</v>
      </c>
      <c r="N116" s="80">
        <v>224821</v>
      </c>
    </row>
    <row r="117" spans="11:14">
      <c r="K117" s="80">
        <v>1138</v>
      </c>
      <c r="L117" s="80" t="s">
        <v>284</v>
      </c>
      <c r="M117" s="80" t="s">
        <v>183</v>
      </c>
      <c r="N117" s="80">
        <v>218391</v>
      </c>
    </row>
    <row r="118" spans="11:14">
      <c r="K118" s="80">
        <v>1139</v>
      </c>
      <c r="L118" s="80" t="s">
        <v>285</v>
      </c>
      <c r="M118" s="80" t="s">
        <v>149</v>
      </c>
      <c r="N118" s="80">
        <v>216950</v>
      </c>
    </row>
    <row r="119" spans="11:14">
      <c r="K119" s="80">
        <v>1140</v>
      </c>
      <c r="L119" s="80" t="s">
        <v>286</v>
      </c>
      <c r="M119" s="80" t="s">
        <v>231</v>
      </c>
      <c r="N119" s="80">
        <v>215489</v>
      </c>
    </row>
    <row r="120" spans="11:14">
      <c r="K120" s="80">
        <v>1141</v>
      </c>
      <c r="L120" s="80" t="s">
        <v>287</v>
      </c>
      <c r="M120" s="80" t="s">
        <v>151</v>
      </c>
      <c r="N120" s="80">
        <v>215424</v>
      </c>
    </row>
    <row r="121" spans="11:14">
      <c r="K121" s="80">
        <v>1142</v>
      </c>
      <c r="L121" s="80" t="s">
        <v>288</v>
      </c>
      <c r="M121" s="80" t="s">
        <v>195</v>
      </c>
      <c r="N121" s="80">
        <v>215218</v>
      </c>
    </row>
    <row r="122" spans="11:14">
      <c r="K122" s="80">
        <v>1143</v>
      </c>
      <c r="L122" s="80" t="s">
        <v>289</v>
      </c>
      <c r="M122" s="80" t="s">
        <v>163</v>
      </c>
      <c r="N122" s="80">
        <v>215128</v>
      </c>
    </row>
    <row r="123" spans="11:14">
      <c r="K123" s="80">
        <v>1144</v>
      </c>
      <c r="L123" s="80" t="s">
        <v>290</v>
      </c>
      <c r="M123" s="80" t="s">
        <v>145</v>
      </c>
      <c r="N123" s="80">
        <v>214950</v>
      </c>
    </row>
    <row r="124" spans="11:14">
      <c r="K124" s="80">
        <v>1145</v>
      </c>
      <c r="L124" s="80" t="s">
        <v>291</v>
      </c>
      <c r="M124" s="80" t="s">
        <v>185</v>
      </c>
      <c r="N124" s="80">
        <v>214737</v>
      </c>
    </row>
    <row r="125" spans="11:14">
      <c r="K125" s="80">
        <v>1146</v>
      </c>
      <c r="L125" s="80" t="s">
        <v>292</v>
      </c>
      <c r="M125" s="80" t="s">
        <v>155</v>
      </c>
      <c r="N125" s="80">
        <v>214384</v>
      </c>
    </row>
    <row r="126" spans="11:14">
      <c r="K126" s="80">
        <v>1147</v>
      </c>
      <c r="L126" s="80" t="s">
        <v>293</v>
      </c>
      <c r="M126" s="80" t="s">
        <v>155</v>
      </c>
      <c r="N126" s="80">
        <v>212866</v>
      </c>
    </row>
    <row r="127" spans="11:14">
      <c r="K127" s="80">
        <v>1148</v>
      </c>
      <c r="L127" s="80" t="s">
        <v>294</v>
      </c>
      <c r="M127" s="80" t="s">
        <v>231</v>
      </c>
      <c r="N127" s="80">
        <v>210418</v>
      </c>
    </row>
    <row r="128" spans="11:14">
      <c r="K128" s="80">
        <v>1149</v>
      </c>
      <c r="L128" s="80" t="s">
        <v>295</v>
      </c>
      <c r="M128" s="80" t="s">
        <v>171</v>
      </c>
      <c r="N128" s="80">
        <v>205086</v>
      </c>
    </row>
    <row r="129" spans="11:14">
      <c r="K129" s="80">
        <v>1150</v>
      </c>
      <c r="L129" s="80" t="s">
        <v>296</v>
      </c>
      <c r="M129" s="80" t="s">
        <v>296</v>
      </c>
      <c r="N129" s="80">
        <v>203065</v>
      </c>
    </row>
    <row r="130" spans="11:14">
      <c r="K130" s="80">
        <v>1151</v>
      </c>
      <c r="L130" s="80" t="s">
        <v>297</v>
      </c>
      <c r="M130" s="80" t="s">
        <v>151</v>
      </c>
      <c r="N130" s="80">
        <v>202013</v>
      </c>
    </row>
    <row r="131" spans="11:14">
      <c r="K131" s="80">
        <v>1152</v>
      </c>
      <c r="L131" s="80" t="s">
        <v>298</v>
      </c>
      <c r="M131" s="80" t="s">
        <v>183</v>
      </c>
      <c r="N131" s="80">
        <v>201323</v>
      </c>
    </row>
    <row r="132" spans="11:14">
      <c r="K132" s="80">
        <v>1153</v>
      </c>
      <c r="L132" s="80" t="s">
        <v>299</v>
      </c>
      <c r="M132" s="80" t="s">
        <v>151</v>
      </c>
      <c r="N132" s="80">
        <v>199854</v>
      </c>
    </row>
    <row r="133" spans="11:14">
      <c r="K133" s="80">
        <v>1154</v>
      </c>
      <c r="L133" s="80" t="s">
        <v>300</v>
      </c>
      <c r="M133" s="80" t="s">
        <v>301</v>
      </c>
      <c r="N133" s="80">
        <v>198535</v>
      </c>
    </row>
    <row r="134" spans="11:14">
      <c r="K134" s="80">
        <v>1155</v>
      </c>
      <c r="L134" s="80" t="s">
        <v>302</v>
      </c>
      <c r="M134" s="80" t="s">
        <v>145</v>
      </c>
      <c r="N134" s="80">
        <v>197408</v>
      </c>
    </row>
    <row r="135" spans="11:14">
      <c r="K135" s="80">
        <v>1156</v>
      </c>
      <c r="L135" s="80" t="s">
        <v>303</v>
      </c>
      <c r="M135" s="80" t="s">
        <v>173</v>
      </c>
      <c r="N135" s="80">
        <v>195346</v>
      </c>
    </row>
    <row r="136" spans="11:14">
      <c r="K136" s="80">
        <v>1157</v>
      </c>
      <c r="L136" s="80" t="s">
        <v>304</v>
      </c>
      <c r="M136" s="80" t="s">
        <v>163</v>
      </c>
      <c r="N136" s="80">
        <v>194567</v>
      </c>
    </row>
    <row r="137" spans="11:14">
      <c r="K137" s="80">
        <v>1158</v>
      </c>
      <c r="L137" s="80" t="s">
        <v>305</v>
      </c>
      <c r="M137" s="80" t="s">
        <v>145</v>
      </c>
      <c r="N137" s="80">
        <v>193197</v>
      </c>
    </row>
    <row r="138" spans="11:14">
      <c r="K138" s="80">
        <v>1159</v>
      </c>
      <c r="L138" s="80" t="s">
        <v>306</v>
      </c>
      <c r="M138" s="80" t="s">
        <v>145</v>
      </c>
      <c r="N138" s="80">
        <v>190255</v>
      </c>
    </row>
    <row r="139" spans="11:14">
      <c r="K139" s="80">
        <v>1160</v>
      </c>
      <c r="L139" s="80" t="s">
        <v>307</v>
      </c>
      <c r="M139" s="80" t="s">
        <v>151</v>
      </c>
      <c r="N139" s="80">
        <v>190084</v>
      </c>
    </row>
    <row r="140" spans="11:14">
      <c r="K140" s="80">
        <v>1161</v>
      </c>
      <c r="L140" s="80" t="s">
        <v>308</v>
      </c>
      <c r="M140" s="80" t="s">
        <v>161</v>
      </c>
      <c r="N140" s="80">
        <v>186939</v>
      </c>
    </row>
    <row r="141" spans="11:14">
      <c r="K141" s="80">
        <v>1162</v>
      </c>
      <c r="L141" s="80" t="s">
        <v>309</v>
      </c>
      <c r="M141" s="80" t="s">
        <v>155</v>
      </c>
      <c r="N141" s="80">
        <v>185378</v>
      </c>
    </row>
    <row r="142" spans="11:14">
      <c r="K142" s="80">
        <v>1163</v>
      </c>
      <c r="L142" s="80" t="s">
        <v>310</v>
      </c>
      <c r="M142" s="80" t="s">
        <v>149</v>
      </c>
      <c r="N142" s="80">
        <v>184474</v>
      </c>
    </row>
    <row r="143" spans="11:14">
      <c r="K143" s="80">
        <v>1164</v>
      </c>
      <c r="L143" s="80" t="s">
        <v>311</v>
      </c>
      <c r="M143" s="80" t="s">
        <v>171</v>
      </c>
      <c r="N143" s="80">
        <v>183965</v>
      </c>
    </row>
    <row r="144" spans="11:14">
      <c r="K144" s="80">
        <v>1165</v>
      </c>
      <c r="L144" s="80" t="s">
        <v>312</v>
      </c>
      <c r="M144" s="80" t="s">
        <v>173</v>
      </c>
      <c r="N144" s="80">
        <v>183375</v>
      </c>
    </row>
    <row r="145" spans="11:14">
      <c r="K145" s="80">
        <v>1166</v>
      </c>
      <c r="L145" s="80" t="s">
        <v>313</v>
      </c>
      <c r="M145" s="80" t="s">
        <v>151</v>
      </c>
      <c r="N145" s="80">
        <v>183215</v>
      </c>
    </row>
    <row r="146" spans="11:14">
      <c r="K146" s="80">
        <v>1167</v>
      </c>
      <c r="L146" s="80" t="s">
        <v>314</v>
      </c>
      <c r="M146" s="80" t="s">
        <v>151</v>
      </c>
      <c r="N146" s="80">
        <v>182477</v>
      </c>
    </row>
    <row r="147" spans="11:14">
      <c r="K147" s="80">
        <v>1168</v>
      </c>
      <c r="L147" s="80" t="s">
        <v>315</v>
      </c>
      <c r="M147" s="80" t="s">
        <v>145</v>
      </c>
      <c r="N147" s="80">
        <v>181339</v>
      </c>
    </row>
    <row r="148" spans="11:14">
      <c r="K148" s="80">
        <v>1169</v>
      </c>
      <c r="L148" s="80" t="s">
        <v>316</v>
      </c>
      <c r="M148" s="80" t="s">
        <v>224</v>
      </c>
      <c r="N148" s="80">
        <v>179833</v>
      </c>
    </row>
    <row r="149" spans="11:14">
      <c r="K149" s="80">
        <v>1170</v>
      </c>
      <c r="L149" s="80" t="s">
        <v>317</v>
      </c>
      <c r="M149" s="80" t="s">
        <v>161</v>
      </c>
      <c r="N149" s="80">
        <v>179258</v>
      </c>
    </row>
    <row r="150" spans="11:14">
      <c r="K150" s="80">
        <v>1171</v>
      </c>
      <c r="L150" s="80" t="s">
        <v>318</v>
      </c>
      <c r="M150" s="80" t="s">
        <v>149</v>
      </c>
      <c r="N150" s="80">
        <v>177989</v>
      </c>
    </row>
    <row r="151" spans="11:14">
      <c r="K151" s="80">
        <v>1172</v>
      </c>
      <c r="L151" s="80" t="s">
        <v>319</v>
      </c>
      <c r="M151" s="80" t="s">
        <v>145</v>
      </c>
      <c r="N151" s="80">
        <v>175372</v>
      </c>
    </row>
    <row r="152" spans="11:14">
      <c r="K152" s="80">
        <v>1173</v>
      </c>
      <c r="L152" s="80" t="s">
        <v>320</v>
      </c>
      <c r="M152" s="80" t="s">
        <v>151</v>
      </c>
      <c r="N152" s="80">
        <v>175061</v>
      </c>
    </row>
    <row r="153" spans="11:14">
      <c r="K153" s="80">
        <v>1174</v>
      </c>
      <c r="L153" s="80" t="s">
        <v>321</v>
      </c>
      <c r="M153" s="80" t="s">
        <v>145</v>
      </c>
      <c r="N153" s="80">
        <v>174985</v>
      </c>
    </row>
    <row r="154" spans="11:14">
      <c r="K154" s="80">
        <v>1175</v>
      </c>
      <c r="L154" s="80" t="s">
        <v>322</v>
      </c>
      <c r="M154" s="80" t="s">
        <v>149</v>
      </c>
      <c r="N154" s="80">
        <v>174933</v>
      </c>
    </row>
    <row r="155" spans="11:14">
      <c r="K155" s="80">
        <v>1176</v>
      </c>
      <c r="L155" s="80" t="s">
        <v>323</v>
      </c>
      <c r="M155" s="80" t="s">
        <v>155</v>
      </c>
      <c r="N155" s="80">
        <v>174924</v>
      </c>
    </row>
    <row r="156" spans="11:14">
      <c r="K156" s="80">
        <v>1177</v>
      </c>
      <c r="L156" s="80" t="s">
        <v>324</v>
      </c>
      <c r="M156" s="80" t="s">
        <v>209</v>
      </c>
      <c r="N156" s="80">
        <v>174666</v>
      </c>
    </row>
    <row r="157" spans="11:14">
      <c r="K157" s="80">
        <v>1178</v>
      </c>
      <c r="L157" s="80" t="s">
        <v>325</v>
      </c>
      <c r="M157" s="80" t="s">
        <v>155</v>
      </c>
      <c r="N157" s="80">
        <v>174369</v>
      </c>
    </row>
    <row r="158" spans="11:14">
      <c r="K158" s="80">
        <v>1179</v>
      </c>
      <c r="L158" s="80" t="s">
        <v>326</v>
      </c>
      <c r="M158" s="80" t="s">
        <v>195</v>
      </c>
      <c r="N158" s="80">
        <v>173751</v>
      </c>
    </row>
    <row r="159" spans="11:14">
      <c r="K159" s="80">
        <v>1180</v>
      </c>
      <c r="L159" s="80" t="s">
        <v>327</v>
      </c>
      <c r="M159" s="80" t="s">
        <v>173</v>
      </c>
      <c r="N159" s="80">
        <v>172710</v>
      </c>
    </row>
    <row r="160" spans="11:14">
      <c r="K160" s="80">
        <v>1181</v>
      </c>
      <c r="L160" s="80" t="s">
        <v>328</v>
      </c>
      <c r="M160" s="80" t="s">
        <v>195</v>
      </c>
      <c r="N160" s="80">
        <v>172677</v>
      </c>
    </row>
    <row r="161" spans="11:14">
      <c r="K161" s="80">
        <v>1182</v>
      </c>
      <c r="L161" s="80" t="s">
        <v>329</v>
      </c>
      <c r="M161" s="80" t="s">
        <v>151</v>
      </c>
      <c r="N161" s="80">
        <v>172562</v>
      </c>
    </row>
    <row r="162" spans="11:14">
      <c r="K162" s="80">
        <v>1183</v>
      </c>
      <c r="L162" s="80" t="s">
        <v>330</v>
      </c>
      <c r="M162" s="80" t="s">
        <v>163</v>
      </c>
      <c r="N162" s="80">
        <v>169336</v>
      </c>
    </row>
    <row r="163" spans="11:14">
      <c r="K163" s="80">
        <v>1184</v>
      </c>
      <c r="L163" s="80" t="s">
        <v>331</v>
      </c>
      <c r="M163" s="80" t="s">
        <v>155</v>
      </c>
      <c r="N163" s="80">
        <v>167461</v>
      </c>
    </row>
    <row r="164" spans="11:14">
      <c r="K164" s="80">
        <v>1185</v>
      </c>
      <c r="L164" s="80" t="s">
        <v>332</v>
      </c>
      <c r="M164" s="80" t="s">
        <v>158</v>
      </c>
      <c r="N164" s="80">
        <v>167051</v>
      </c>
    </row>
    <row r="165" spans="11:14">
      <c r="K165" s="80">
        <v>1186</v>
      </c>
      <c r="L165" s="80" t="s">
        <v>333</v>
      </c>
      <c r="M165" s="80" t="s">
        <v>173</v>
      </c>
      <c r="N165" s="80">
        <v>164364</v>
      </c>
    </row>
    <row r="166" spans="11:14">
      <c r="K166" s="80">
        <v>1187</v>
      </c>
      <c r="L166" s="80" t="s">
        <v>334</v>
      </c>
      <c r="M166" s="80" t="s">
        <v>173</v>
      </c>
      <c r="N166" s="80">
        <v>163431</v>
      </c>
    </row>
    <row r="167" spans="11:14">
      <c r="K167" s="80">
        <v>1188</v>
      </c>
      <c r="L167" s="80" t="s">
        <v>335</v>
      </c>
      <c r="M167" s="80" t="s">
        <v>171</v>
      </c>
      <c r="N167" s="80">
        <v>161482</v>
      </c>
    </row>
    <row r="168" spans="11:14">
      <c r="K168" s="80">
        <v>1189</v>
      </c>
      <c r="L168" s="80" t="s">
        <v>336</v>
      </c>
      <c r="M168" s="80" t="s">
        <v>155</v>
      </c>
      <c r="N168" s="80">
        <v>160359</v>
      </c>
    </row>
    <row r="169" spans="11:14">
      <c r="K169" s="80">
        <v>1190</v>
      </c>
      <c r="L169" s="80" t="s">
        <v>337</v>
      </c>
      <c r="M169" s="80" t="s">
        <v>151</v>
      </c>
      <c r="N169" s="80">
        <v>159232</v>
      </c>
    </row>
    <row r="170" spans="11:14">
      <c r="K170" s="80">
        <v>1191</v>
      </c>
      <c r="L170" s="80" t="s">
        <v>338</v>
      </c>
      <c r="M170" s="80" t="s">
        <v>155</v>
      </c>
      <c r="N170" s="80">
        <v>159110</v>
      </c>
    </row>
    <row r="171" spans="11:14">
      <c r="K171" s="80">
        <v>1192</v>
      </c>
      <c r="L171" s="80" t="s">
        <v>339</v>
      </c>
      <c r="M171" s="80" t="s">
        <v>176</v>
      </c>
      <c r="N171" s="80">
        <v>159042</v>
      </c>
    </row>
    <row r="172" spans="11:14">
      <c r="K172" s="80">
        <v>1193</v>
      </c>
      <c r="L172" s="80" t="s">
        <v>340</v>
      </c>
      <c r="M172" s="80" t="s">
        <v>161</v>
      </c>
      <c r="N172" s="80">
        <v>157551</v>
      </c>
    </row>
    <row r="173" spans="11:14">
      <c r="K173" s="80">
        <v>1194</v>
      </c>
      <c r="L173" s="80" t="s">
        <v>341</v>
      </c>
      <c r="M173" s="80" t="s">
        <v>342</v>
      </c>
      <c r="N173" s="80">
        <v>157358</v>
      </c>
    </row>
    <row r="174" spans="11:14">
      <c r="K174" s="80">
        <v>1195</v>
      </c>
      <c r="L174" s="80" t="s">
        <v>343</v>
      </c>
      <c r="M174" s="80" t="s">
        <v>183</v>
      </c>
      <c r="N174" s="80">
        <v>157082</v>
      </c>
    </row>
    <row r="175" spans="11:14">
      <c r="K175" s="80">
        <v>1196</v>
      </c>
      <c r="L175" s="80" t="s">
        <v>344</v>
      </c>
      <c r="M175" s="80" t="s">
        <v>173</v>
      </c>
      <c r="N175" s="80">
        <v>156630</v>
      </c>
    </row>
    <row r="176" spans="11:14">
      <c r="K176" s="80">
        <v>1197</v>
      </c>
      <c r="L176" s="80" t="s">
        <v>345</v>
      </c>
      <c r="M176" s="80" t="s">
        <v>155</v>
      </c>
      <c r="N176" s="80">
        <v>155500</v>
      </c>
    </row>
    <row r="177" spans="11:14">
      <c r="K177" s="80">
        <v>1198</v>
      </c>
      <c r="L177" s="80" t="s">
        <v>346</v>
      </c>
      <c r="M177" s="80" t="s">
        <v>347</v>
      </c>
      <c r="N177" s="80">
        <v>155240</v>
      </c>
    </row>
    <row r="178" spans="11:14">
      <c r="K178" s="80">
        <v>1199</v>
      </c>
      <c r="L178" s="80" t="s">
        <v>348</v>
      </c>
      <c r="M178" s="80" t="s">
        <v>149</v>
      </c>
      <c r="N178" s="80">
        <v>155172</v>
      </c>
    </row>
    <row r="179" spans="11:14">
      <c r="K179" s="80">
        <v>1200</v>
      </c>
      <c r="L179" s="80" t="s">
        <v>349</v>
      </c>
      <c r="M179" s="80" t="s">
        <v>183</v>
      </c>
      <c r="N179" s="80">
        <v>154367</v>
      </c>
    </row>
    <row r="180" spans="11:14">
      <c r="K180" s="80">
        <v>1201</v>
      </c>
      <c r="L180" s="80" t="s">
        <v>350</v>
      </c>
      <c r="M180" s="80" t="s">
        <v>151</v>
      </c>
      <c r="N180" s="80">
        <v>153086</v>
      </c>
    </row>
    <row r="181" spans="11:14">
      <c r="K181" s="80">
        <v>1202</v>
      </c>
      <c r="L181" s="80" t="s">
        <v>351</v>
      </c>
      <c r="M181" s="80" t="s">
        <v>149</v>
      </c>
      <c r="N181" s="80">
        <v>151806</v>
      </c>
    </row>
    <row r="182" spans="11:14">
      <c r="K182" s="80">
        <v>1203</v>
      </c>
      <c r="L182" s="80" t="s">
        <v>352</v>
      </c>
      <c r="M182" s="80" t="s">
        <v>203</v>
      </c>
      <c r="N182" s="80">
        <v>151789</v>
      </c>
    </row>
    <row r="183" spans="11:14">
      <c r="K183" s="80">
        <v>1204</v>
      </c>
      <c r="L183" s="80" t="s">
        <v>353</v>
      </c>
      <c r="M183" s="80" t="s">
        <v>149</v>
      </c>
      <c r="N183" s="80">
        <v>151045</v>
      </c>
    </row>
    <row r="184" spans="11:14">
      <c r="K184" s="80">
        <v>1205</v>
      </c>
      <c r="L184" s="80" t="s">
        <v>354</v>
      </c>
      <c r="M184" s="80" t="s">
        <v>163</v>
      </c>
      <c r="N184" s="80">
        <v>150869</v>
      </c>
    </row>
    <row r="185" spans="11:14">
      <c r="K185" s="80">
        <v>1206</v>
      </c>
      <c r="L185" s="80" t="s">
        <v>355</v>
      </c>
      <c r="M185" s="80" t="s">
        <v>224</v>
      </c>
      <c r="N185" s="80">
        <v>150645</v>
      </c>
    </row>
    <row r="186" spans="11:14">
      <c r="K186" s="80">
        <v>1207</v>
      </c>
      <c r="L186" s="80" t="s">
        <v>356</v>
      </c>
      <c r="M186" s="80" t="s">
        <v>183</v>
      </c>
      <c r="N186" s="80">
        <v>150112</v>
      </c>
    </row>
    <row r="187" spans="11:14">
      <c r="K187" s="80">
        <v>1208</v>
      </c>
      <c r="L187" s="80" t="s">
        <v>357</v>
      </c>
      <c r="M187" s="80" t="s">
        <v>151</v>
      </c>
      <c r="N187" s="80">
        <v>150100</v>
      </c>
    </row>
    <row r="188" spans="11:14">
      <c r="K188" s="80">
        <v>1209</v>
      </c>
      <c r="L188" s="80" t="s">
        <v>358</v>
      </c>
      <c r="M188" s="80" t="s">
        <v>149</v>
      </c>
      <c r="N188" s="80">
        <v>149965</v>
      </c>
    </row>
    <row r="189" spans="11:14">
      <c r="K189" s="80">
        <v>1210</v>
      </c>
      <c r="L189" s="80" t="s">
        <v>359</v>
      </c>
      <c r="M189" s="80" t="s">
        <v>155</v>
      </c>
      <c r="N189" s="80">
        <v>148583</v>
      </c>
    </row>
    <row r="190" spans="11:14">
      <c r="K190" s="80">
        <v>1211</v>
      </c>
      <c r="L190" s="80" t="s">
        <v>360</v>
      </c>
      <c r="M190" s="80" t="s">
        <v>171</v>
      </c>
      <c r="N190" s="80">
        <v>148519</v>
      </c>
    </row>
    <row r="191" spans="11:14">
      <c r="K191" s="80">
        <v>1212</v>
      </c>
      <c r="L191" s="80" t="s">
        <v>361</v>
      </c>
      <c r="M191" s="80" t="s">
        <v>171</v>
      </c>
      <c r="N191" s="80">
        <v>148272</v>
      </c>
    </row>
    <row r="192" spans="11:14">
      <c r="K192" s="80">
        <v>1213</v>
      </c>
      <c r="L192" s="80" t="s">
        <v>362</v>
      </c>
      <c r="M192" s="80" t="s">
        <v>263</v>
      </c>
      <c r="N192" s="80">
        <v>147305</v>
      </c>
    </row>
    <row r="193" spans="11:14">
      <c r="K193" s="80">
        <v>1214</v>
      </c>
      <c r="L193" s="80" t="s">
        <v>363</v>
      </c>
      <c r="M193" s="80" t="s">
        <v>149</v>
      </c>
      <c r="N193" s="80">
        <v>147217</v>
      </c>
    </row>
    <row r="194" spans="11:14">
      <c r="K194" s="80">
        <v>1215</v>
      </c>
      <c r="L194" s="80" t="s">
        <v>364</v>
      </c>
      <c r="M194" s="80" t="s">
        <v>173</v>
      </c>
      <c r="N194" s="80">
        <v>147124</v>
      </c>
    </row>
    <row r="195" spans="11:14">
      <c r="K195" s="80">
        <v>1216</v>
      </c>
      <c r="L195" s="80" t="s">
        <v>365</v>
      </c>
      <c r="M195" s="80" t="s">
        <v>163</v>
      </c>
      <c r="N195" s="80">
        <v>146514</v>
      </c>
    </row>
    <row r="196" spans="11:14">
      <c r="K196" s="80">
        <v>1217</v>
      </c>
      <c r="L196" s="80" t="s">
        <v>366</v>
      </c>
      <c r="M196" s="80" t="s">
        <v>163</v>
      </c>
      <c r="N196" s="80">
        <v>146262</v>
      </c>
    </row>
    <row r="197" spans="11:14">
      <c r="K197" s="80">
        <v>1218</v>
      </c>
      <c r="L197" s="80" t="s">
        <v>367</v>
      </c>
      <c r="M197" s="80" t="s">
        <v>145</v>
      </c>
      <c r="N197" s="80">
        <v>145143</v>
      </c>
    </row>
    <row r="198" spans="11:14">
      <c r="K198" s="80">
        <v>1219</v>
      </c>
      <c r="L198" s="80" t="s">
        <v>368</v>
      </c>
      <c r="M198" s="80" t="s">
        <v>173</v>
      </c>
      <c r="N198" s="80">
        <v>145133</v>
      </c>
    </row>
    <row r="199" spans="11:14">
      <c r="K199" s="80">
        <v>1220</v>
      </c>
      <c r="L199" s="80" t="s">
        <v>369</v>
      </c>
      <c r="M199" s="80" t="s">
        <v>195</v>
      </c>
      <c r="N199" s="80">
        <v>144346</v>
      </c>
    </row>
    <row r="200" spans="11:14">
      <c r="K200" s="80">
        <v>1221</v>
      </c>
      <c r="L200" s="80" t="s">
        <v>370</v>
      </c>
      <c r="M200" s="80" t="s">
        <v>195</v>
      </c>
      <c r="N200" s="80">
        <v>143922</v>
      </c>
    </row>
    <row r="201" spans="11:14">
      <c r="K201" s="80">
        <v>1222</v>
      </c>
      <c r="L201" s="80" t="s">
        <v>371</v>
      </c>
      <c r="M201" s="80" t="s">
        <v>155</v>
      </c>
      <c r="N201" s="80">
        <v>143726</v>
      </c>
    </row>
    <row r="202" spans="11:14">
      <c r="K202" s="80">
        <v>1223</v>
      </c>
      <c r="L202" s="80" t="s">
        <v>372</v>
      </c>
      <c r="M202" s="80" t="s">
        <v>231</v>
      </c>
      <c r="N202" s="80">
        <v>140408</v>
      </c>
    </row>
    <row r="203" spans="11:14">
      <c r="K203" s="80">
        <v>1224</v>
      </c>
      <c r="L203" s="80" t="s">
        <v>373</v>
      </c>
      <c r="M203" s="80" t="s">
        <v>209</v>
      </c>
      <c r="N203" s="80">
        <v>139852</v>
      </c>
    </row>
    <row r="204" spans="11:14">
      <c r="K204" s="80">
        <v>1225</v>
      </c>
      <c r="L204" s="80" t="s">
        <v>374</v>
      </c>
      <c r="M204" s="80" t="s">
        <v>151</v>
      </c>
      <c r="N204" s="80">
        <v>139483</v>
      </c>
    </row>
    <row r="205" spans="11:14">
      <c r="K205" s="80">
        <v>1226</v>
      </c>
      <c r="L205" s="80" t="s">
        <v>375</v>
      </c>
      <c r="M205" s="80" t="s">
        <v>149</v>
      </c>
      <c r="N205" s="80">
        <v>139204</v>
      </c>
    </row>
    <row r="206" spans="11:14">
      <c r="K206" s="80">
        <v>1227</v>
      </c>
      <c r="L206" s="80" t="s">
        <v>376</v>
      </c>
      <c r="M206" s="80" t="s">
        <v>161</v>
      </c>
      <c r="N206" s="80">
        <v>138903</v>
      </c>
    </row>
    <row r="207" spans="11:14">
      <c r="K207" s="80">
        <v>1228</v>
      </c>
      <c r="L207" s="80" t="s">
        <v>377</v>
      </c>
      <c r="M207" s="80" t="s">
        <v>163</v>
      </c>
      <c r="N207" s="80">
        <v>137061</v>
      </c>
    </row>
    <row r="208" spans="11:14">
      <c r="K208" s="80">
        <v>1229</v>
      </c>
      <c r="L208" s="80" t="s">
        <v>378</v>
      </c>
      <c r="M208" s="80" t="s">
        <v>149</v>
      </c>
      <c r="N208" s="80">
        <v>137028</v>
      </c>
    </row>
    <row r="209" spans="11:14">
      <c r="K209" s="80">
        <v>1230</v>
      </c>
      <c r="L209" s="80" t="s">
        <v>379</v>
      </c>
      <c r="M209" s="80" t="s">
        <v>183</v>
      </c>
      <c r="N209" s="80">
        <v>136877</v>
      </c>
    </row>
    <row r="210" spans="11:14">
      <c r="K210" s="80">
        <v>1231</v>
      </c>
      <c r="L210" s="80" t="s">
        <v>380</v>
      </c>
      <c r="M210" s="80" t="s">
        <v>171</v>
      </c>
      <c r="N210" s="80">
        <v>136842</v>
      </c>
    </row>
    <row r="211" spans="11:14">
      <c r="K211" s="80">
        <v>1232</v>
      </c>
      <c r="L211" s="80" t="s">
        <v>381</v>
      </c>
      <c r="M211" s="80" t="s">
        <v>163</v>
      </c>
      <c r="N211" s="80">
        <v>136697</v>
      </c>
    </row>
    <row r="212" spans="11:14">
      <c r="K212" s="80">
        <v>1233</v>
      </c>
      <c r="L212" s="80" t="s">
        <v>382</v>
      </c>
      <c r="M212" s="80" t="s">
        <v>155</v>
      </c>
      <c r="N212" s="80">
        <v>136182</v>
      </c>
    </row>
    <row r="213" spans="11:14">
      <c r="K213" s="80">
        <v>1234</v>
      </c>
      <c r="L213" s="80" t="s">
        <v>383</v>
      </c>
      <c r="M213" s="80" t="s">
        <v>163</v>
      </c>
      <c r="N213" s="80">
        <v>136062</v>
      </c>
    </row>
    <row r="214" spans="11:14">
      <c r="K214" s="80">
        <v>1235</v>
      </c>
      <c r="L214" s="80" t="s">
        <v>384</v>
      </c>
      <c r="M214" s="80" t="s">
        <v>151</v>
      </c>
      <c r="N214" s="80">
        <v>135825</v>
      </c>
    </row>
    <row r="215" spans="11:14">
      <c r="K215" s="80">
        <v>1236</v>
      </c>
      <c r="L215" s="80" t="s">
        <v>385</v>
      </c>
      <c r="M215" s="80" t="s">
        <v>163</v>
      </c>
      <c r="N215" s="80">
        <v>135400</v>
      </c>
    </row>
    <row r="216" spans="11:14">
      <c r="K216" s="80">
        <v>1237</v>
      </c>
      <c r="L216" s="80" t="s">
        <v>386</v>
      </c>
      <c r="M216" s="80" t="s">
        <v>161</v>
      </c>
      <c r="N216" s="80">
        <v>134051</v>
      </c>
    </row>
    <row r="217" spans="11:14">
      <c r="K217" s="80">
        <v>1238</v>
      </c>
      <c r="L217" s="80" t="s">
        <v>387</v>
      </c>
      <c r="M217" s="80" t="s">
        <v>155</v>
      </c>
      <c r="N217" s="80">
        <v>133914</v>
      </c>
    </row>
    <row r="218" spans="11:14">
      <c r="K218" s="80">
        <v>1239</v>
      </c>
      <c r="L218" s="80" t="s">
        <v>388</v>
      </c>
      <c r="M218" s="80" t="s">
        <v>155</v>
      </c>
      <c r="N218" s="80">
        <v>133462</v>
      </c>
    </row>
    <row r="219" spans="11:14">
      <c r="K219" s="80">
        <v>1240</v>
      </c>
      <c r="L219" s="80" t="s">
        <v>389</v>
      </c>
      <c r="M219" s="80" t="s">
        <v>149</v>
      </c>
      <c r="N219" s="80">
        <v>133265</v>
      </c>
    </row>
    <row r="220" spans="11:14">
      <c r="K220" s="80">
        <v>1241</v>
      </c>
      <c r="L220" s="80" t="s">
        <v>390</v>
      </c>
      <c r="M220" s="80" t="s">
        <v>158</v>
      </c>
      <c r="N220" s="80">
        <v>133102</v>
      </c>
    </row>
    <row r="221" spans="11:14">
      <c r="K221" s="80">
        <v>1242</v>
      </c>
      <c r="L221" s="80" t="s">
        <v>391</v>
      </c>
      <c r="M221" s="80" t="s">
        <v>149</v>
      </c>
      <c r="N221" s="80">
        <v>132701</v>
      </c>
    </row>
    <row r="222" spans="11:14">
      <c r="K222" s="80">
        <v>1243</v>
      </c>
      <c r="L222" s="80" t="s">
        <v>392</v>
      </c>
      <c r="M222" s="80" t="s">
        <v>393</v>
      </c>
      <c r="N222" s="80">
        <v>131719</v>
      </c>
    </row>
    <row r="223" spans="11:14">
      <c r="K223" s="80">
        <v>1244</v>
      </c>
      <c r="L223" s="80" t="s">
        <v>394</v>
      </c>
      <c r="M223" s="80" t="s">
        <v>231</v>
      </c>
      <c r="N223" s="80">
        <v>131138</v>
      </c>
    </row>
    <row r="224" spans="11:14">
      <c r="K224" s="80">
        <v>1245</v>
      </c>
      <c r="L224" s="80" t="s">
        <v>395</v>
      </c>
      <c r="M224" s="80" t="s">
        <v>158</v>
      </c>
      <c r="N224" s="80">
        <v>130484</v>
      </c>
    </row>
    <row r="225" spans="11:14">
      <c r="K225" s="80">
        <v>1246</v>
      </c>
      <c r="L225" s="80" t="s">
        <v>396</v>
      </c>
      <c r="M225" s="80" t="s">
        <v>163</v>
      </c>
      <c r="N225" s="80">
        <v>129904</v>
      </c>
    </row>
    <row r="226" spans="11:14">
      <c r="K226" s="80">
        <v>1247</v>
      </c>
      <c r="L226" s="80" t="s">
        <v>397</v>
      </c>
      <c r="M226" s="80" t="s">
        <v>173</v>
      </c>
      <c r="N226" s="80">
        <v>128981</v>
      </c>
    </row>
    <row r="227" spans="11:14">
      <c r="K227" s="80">
        <v>1248</v>
      </c>
      <c r="L227" s="80" t="s">
        <v>398</v>
      </c>
      <c r="M227" s="80" t="s">
        <v>195</v>
      </c>
      <c r="N227" s="80">
        <v>128608</v>
      </c>
    </row>
    <row r="228" spans="11:14">
      <c r="K228" s="80">
        <v>1249</v>
      </c>
      <c r="L228" s="80" t="s">
        <v>399</v>
      </c>
      <c r="M228" s="80" t="s">
        <v>155</v>
      </c>
      <c r="N228" s="80">
        <v>127992</v>
      </c>
    </row>
    <row r="229" spans="11:14">
      <c r="K229" s="80">
        <v>1250</v>
      </c>
      <c r="L229" s="80" t="s">
        <v>400</v>
      </c>
      <c r="M229" s="80" t="s">
        <v>163</v>
      </c>
      <c r="N229" s="80">
        <v>127201</v>
      </c>
    </row>
    <row r="230" spans="11:14">
      <c r="K230" s="80">
        <v>1251</v>
      </c>
      <c r="L230" s="80" t="s">
        <v>401</v>
      </c>
      <c r="M230" s="80" t="s">
        <v>158</v>
      </c>
      <c r="N230" s="80">
        <v>126089</v>
      </c>
    </row>
    <row r="231" spans="11:14">
      <c r="K231" s="80">
        <v>1252</v>
      </c>
      <c r="L231" s="80" t="s">
        <v>402</v>
      </c>
      <c r="M231" s="80" t="s">
        <v>155</v>
      </c>
      <c r="N231" s="80">
        <v>126066</v>
      </c>
    </row>
    <row r="232" spans="11:14">
      <c r="K232" s="80">
        <v>1253</v>
      </c>
      <c r="L232" s="80" t="s">
        <v>403</v>
      </c>
      <c r="M232" s="80" t="s">
        <v>149</v>
      </c>
      <c r="N232" s="80">
        <v>125498</v>
      </c>
    </row>
    <row r="233" spans="11:14">
      <c r="K233" s="80">
        <v>1254</v>
      </c>
      <c r="L233" s="80" t="s">
        <v>404</v>
      </c>
      <c r="M233" s="80" t="s">
        <v>145</v>
      </c>
      <c r="N233" s="80">
        <v>125407</v>
      </c>
    </row>
    <row r="234" spans="11:14">
      <c r="K234" s="80">
        <v>1255</v>
      </c>
      <c r="L234" s="80" t="s">
        <v>405</v>
      </c>
      <c r="M234" s="80" t="s">
        <v>224</v>
      </c>
      <c r="N234" s="80">
        <v>125371</v>
      </c>
    </row>
    <row r="235" spans="11:14">
      <c r="K235" s="80">
        <v>1256</v>
      </c>
      <c r="L235" s="80" t="s">
        <v>406</v>
      </c>
      <c r="M235" s="80" t="s">
        <v>151</v>
      </c>
      <c r="N235" s="80">
        <v>125244</v>
      </c>
    </row>
    <row r="236" spans="11:14">
      <c r="K236" s="80">
        <v>1257</v>
      </c>
      <c r="L236" s="80" t="s">
        <v>407</v>
      </c>
      <c r="M236" s="80" t="s">
        <v>231</v>
      </c>
      <c r="N236" s="80">
        <v>125199</v>
      </c>
    </row>
    <row r="237" spans="11:14">
      <c r="K237" s="80">
        <v>1258</v>
      </c>
      <c r="L237" s="80" t="s">
        <v>408</v>
      </c>
      <c r="M237" s="80" t="s">
        <v>149</v>
      </c>
      <c r="N237" s="80">
        <v>125037</v>
      </c>
    </row>
    <row r="238" spans="11:14">
      <c r="K238" s="80">
        <v>1259</v>
      </c>
      <c r="L238" s="80" t="s">
        <v>409</v>
      </c>
      <c r="M238" s="80" t="s">
        <v>195</v>
      </c>
      <c r="N238" s="80">
        <v>125000</v>
      </c>
    </row>
    <row r="239" spans="11:14">
      <c r="K239" s="80">
        <v>1260</v>
      </c>
      <c r="L239" s="80" t="s">
        <v>410</v>
      </c>
      <c r="M239" s="80" t="s">
        <v>224</v>
      </c>
      <c r="N239" s="80">
        <v>124501</v>
      </c>
    </row>
    <row r="240" spans="11:14">
      <c r="K240" s="80">
        <v>1261</v>
      </c>
      <c r="L240" s="80" t="s">
        <v>411</v>
      </c>
      <c r="M240" s="80" t="s">
        <v>163</v>
      </c>
      <c r="N240" s="80">
        <v>124437</v>
      </c>
    </row>
    <row r="241" spans="11:14">
      <c r="K241" s="80">
        <v>1262</v>
      </c>
      <c r="L241" s="80" t="s">
        <v>412</v>
      </c>
      <c r="M241" s="80" t="s">
        <v>163</v>
      </c>
      <c r="N241" s="80">
        <v>124072</v>
      </c>
    </row>
    <row r="242" spans="11:14">
      <c r="K242" s="80">
        <v>1263</v>
      </c>
      <c r="L242" s="80" t="s">
        <v>413</v>
      </c>
      <c r="M242" s="80" t="s">
        <v>176</v>
      </c>
      <c r="N242" s="80">
        <v>123930</v>
      </c>
    </row>
    <row r="243" spans="11:14">
      <c r="K243" s="80">
        <v>1264</v>
      </c>
      <c r="L243" s="80" t="s">
        <v>414</v>
      </c>
      <c r="M243" s="80" t="s">
        <v>158</v>
      </c>
      <c r="N243" s="80">
        <v>123359</v>
      </c>
    </row>
    <row r="244" spans="11:14">
      <c r="K244" s="80">
        <v>1265</v>
      </c>
      <c r="L244" s="80" t="s">
        <v>415</v>
      </c>
      <c r="M244" s="80" t="s">
        <v>209</v>
      </c>
      <c r="N244" s="80">
        <v>123289</v>
      </c>
    </row>
    <row r="245" spans="11:14">
      <c r="K245" s="80">
        <v>1266</v>
      </c>
      <c r="L245" s="80" t="s">
        <v>416</v>
      </c>
      <c r="M245" s="80" t="s">
        <v>158</v>
      </c>
      <c r="N245" s="80">
        <v>123000</v>
      </c>
    </row>
    <row r="246" spans="11:14">
      <c r="K246" s="80">
        <v>1267</v>
      </c>
      <c r="L246" s="80" t="s">
        <v>417</v>
      </c>
      <c r="M246" s="80" t="s">
        <v>176</v>
      </c>
      <c r="N246" s="80">
        <v>122705</v>
      </c>
    </row>
    <row r="247" spans="11:14">
      <c r="K247" s="80">
        <v>1268</v>
      </c>
      <c r="L247" s="80" t="s">
        <v>418</v>
      </c>
      <c r="M247" s="80" t="s">
        <v>195</v>
      </c>
      <c r="N247" s="80">
        <v>122596</v>
      </c>
    </row>
    <row r="248" spans="11:14">
      <c r="K248" s="80">
        <v>1269</v>
      </c>
      <c r="L248" s="80" t="s">
        <v>419</v>
      </c>
      <c r="M248" s="80" t="s">
        <v>163</v>
      </c>
      <c r="N248" s="80">
        <v>121842</v>
      </c>
    </row>
    <row r="249" spans="11:14">
      <c r="K249" s="80">
        <v>1270</v>
      </c>
      <c r="L249" s="80" t="s">
        <v>420</v>
      </c>
      <c r="M249" s="80" t="s">
        <v>195</v>
      </c>
      <c r="N249" s="80">
        <v>121629</v>
      </c>
    </row>
    <row r="250" spans="11:14">
      <c r="K250" s="80">
        <v>1271</v>
      </c>
      <c r="L250" s="80" t="s">
        <v>421</v>
      </c>
      <c r="M250" s="80" t="s">
        <v>155</v>
      </c>
      <c r="N250" s="80">
        <v>121463</v>
      </c>
    </row>
    <row r="251" spans="11:14">
      <c r="K251" s="80">
        <v>1272</v>
      </c>
      <c r="L251" s="80" t="s">
        <v>422</v>
      </c>
      <c r="M251" s="80" t="s">
        <v>155</v>
      </c>
      <c r="N251" s="80">
        <v>121314</v>
      </c>
    </row>
    <row r="252" spans="11:14">
      <c r="K252" s="80">
        <v>1273</v>
      </c>
      <c r="L252" s="80" t="s">
        <v>423</v>
      </c>
      <c r="M252" s="80" t="s">
        <v>149</v>
      </c>
      <c r="N252" s="80">
        <v>121110</v>
      </c>
    </row>
    <row r="253" spans="11:14">
      <c r="K253" s="80">
        <v>1274</v>
      </c>
      <c r="L253" s="80" t="s">
        <v>424</v>
      </c>
      <c r="M253" s="80" t="s">
        <v>149</v>
      </c>
      <c r="N253" s="80">
        <v>120378</v>
      </c>
    </row>
    <row r="254" spans="11:14">
      <c r="K254" s="80">
        <v>1275</v>
      </c>
      <c r="L254" s="80" t="s">
        <v>425</v>
      </c>
      <c r="M254" s="80" t="s">
        <v>161</v>
      </c>
      <c r="N254" s="80">
        <v>120265</v>
      </c>
    </row>
    <row r="255" spans="11:14">
      <c r="K255" s="80">
        <v>1276</v>
      </c>
      <c r="L255" s="80" t="s">
        <v>426</v>
      </c>
      <c r="M255" s="80" t="s">
        <v>206</v>
      </c>
      <c r="N255" s="80">
        <v>120127</v>
      </c>
    </row>
    <row r="256" spans="11:14">
      <c r="K256" s="80">
        <v>1277</v>
      </c>
      <c r="L256" s="80" t="s">
        <v>427</v>
      </c>
      <c r="M256" s="80" t="s">
        <v>155</v>
      </c>
      <c r="N256" s="80">
        <v>119813</v>
      </c>
    </row>
    <row r="257" spans="11:14">
      <c r="K257" s="80">
        <v>1278</v>
      </c>
      <c r="L257" s="80" t="s">
        <v>428</v>
      </c>
      <c r="M257" s="80" t="s">
        <v>149</v>
      </c>
      <c r="N257" s="80">
        <v>119796</v>
      </c>
    </row>
    <row r="258" spans="11:14">
      <c r="K258" s="80">
        <v>1279</v>
      </c>
      <c r="L258" s="80" t="s">
        <v>429</v>
      </c>
      <c r="M258" s="80" t="s">
        <v>151</v>
      </c>
      <c r="N258" s="80">
        <v>118080</v>
      </c>
    </row>
    <row r="259" spans="11:14">
      <c r="K259" s="80">
        <v>1280</v>
      </c>
      <c r="L259" s="80" t="s">
        <v>430</v>
      </c>
      <c r="M259" s="80" t="s">
        <v>163</v>
      </c>
      <c r="N259" s="80">
        <v>117675</v>
      </c>
    </row>
    <row r="260" spans="11:14">
      <c r="K260" s="80">
        <v>1281</v>
      </c>
      <c r="L260" s="80" t="s">
        <v>431</v>
      </c>
      <c r="M260" s="80" t="s">
        <v>155</v>
      </c>
      <c r="N260" s="80">
        <v>116833</v>
      </c>
    </row>
    <row r="261" spans="11:14">
      <c r="K261" s="80">
        <v>1282</v>
      </c>
      <c r="L261" s="80" t="s">
        <v>432</v>
      </c>
      <c r="M261" s="80" t="s">
        <v>163</v>
      </c>
      <c r="N261" s="80">
        <v>116695</v>
      </c>
    </row>
    <row r="262" spans="11:14">
      <c r="K262" s="80">
        <v>1283</v>
      </c>
      <c r="L262" s="80" t="s">
        <v>433</v>
      </c>
      <c r="M262" s="80" t="s">
        <v>158</v>
      </c>
      <c r="N262" s="80">
        <v>116671</v>
      </c>
    </row>
    <row r="263" spans="11:14">
      <c r="K263" s="80">
        <v>1284</v>
      </c>
      <c r="L263" s="80" t="s">
        <v>434</v>
      </c>
      <c r="M263" s="80" t="s">
        <v>206</v>
      </c>
      <c r="N263" s="80">
        <v>115483</v>
      </c>
    </row>
    <row r="264" spans="11:14">
      <c r="K264" s="80">
        <v>1285</v>
      </c>
      <c r="L264" s="80" t="s">
        <v>435</v>
      </c>
      <c r="M264" s="80" t="s">
        <v>149</v>
      </c>
      <c r="N264" s="80">
        <v>115144</v>
      </c>
    </row>
    <row r="265" spans="11:14">
      <c r="K265" s="80">
        <v>1286</v>
      </c>
      <c r="L265" s="80" t="s">
        <v>436</v>
      </c>
      <c r="M265" s="80" t="s">
        <v>203</v>
      </c>
      <c r="N265" s="80">
        <v>114912</v>
      </c>
    </row>
    <row r="266" spans="11:14">
      <c r="K266" s="80">
        <v>1287</v>
      </c>
      <c r="L266" s="80" t="s">
        <v>437</v>
      </c>
      <c r="M266" s="80" t="s">
        <v>149</v>
      </c>
      <c r="N266" s="80">
        <v>114876</v>
      </c>
    </row>
    <row r="267" spans="11:14">
      <c r="K267" s="80">
        <v>1288</v>
      </c>
      <c r="L267" s="80" t="s">
        <v>438</v>
      </c>
      <c r="M267" s="80" t="s">
        <v>151</v>
      </c>
      <c r="N267" s="80">
        <v>114202</v>
      </c>
    </row>
    <row r="268" spans="11:14">
      <c r="K268" s="80">
        <v>1289</v>
      </c>
      <c r="L268" s="80" t="s">
        <v>439</v>
      </c>
      <c r="M268" s="80" t="s">
        <v>149</v>
      </c>
      <c r="N268" s="80">
        <v>114085</v>
      </c>
    </row>
    <row r="269" spans="11:14">
      <c r="K269" s="80">
        <v>1290</v>
      </c>
      <c r="L269" s="80" t="s">
        <v>440</v>
      </c>
      <c r="M269" s="80" t="s">
        <v>149</v>
      </c>
      <c r="N269" s="80">
        <v>114028</v>
      </c>
    </row>
    <row r="270" spans="11:14">
      <c r="K270" s="80">
        <v>1291</v>
      </c>
      <c r="L270" s="80" t="s">
        <v>441</v>
      </c>
      <c r="M270" s="80" t="s">
        <v>163</v>
      </c>
      <c r="N270" s="80">
        <v>113285</v>
      </c>
    </row>
    <row r="271" spans="11:14">
      <c r="K271" s="80">
        <v>1292</v>
      </c>
      <c r="L271" s="80" t="s">
        <v>442</v>
      </c>
      <c r="M271" s="80" t="s">
        <v>145</v>
      </c>
      <c r="N271" s="80">
        <v>112434</v>
      </c>
    </row>
    <row r="272" spans="11:14">
      <c r="K272" s="80">
        <v>1293</v>
      </c>
      <c r="L272" s="80" t="s">
        <v>443</v>
      </c>
      <c r="M272" s="80" t="s">
        <v>151</v>
      </c>
      <c r="N272" s="80">
        <v>111866</v>
      </c>
    </row>
    <row r="273" spans="11:14">
      <c r="K273" s="80">
        <v>1294</v>
      </c>
      <c r="L273" s="80" t="s">
        <v>444</v>
      </c>
      <c r="M273" s="80" t="s">
        <v>158</v>
      </c>
      <c r="N273" s="80">
        <v>110266</v>
      </c>
    </row>
    <row r="274" spans="11:14">
      <c r="K274" s="80">
        <v>1295</v>
      </c>
      <c r="L274" s="80" t="s">
        <v>445</v>
      </c>
      <c r="M274" s="80" t="s">
        <v>203</v>
      </c>
      <c r="N274" s="80">
        <v>110024</v>
      </c>
    </row>
    <row r="275" spans="11:14">
      <c r="K275" s="80">
        <v>1296</v>
      </c>
      <c r="L275" s="80" t="s">
        <v>446</v>
      </c>
      <c r="M275" s="80" t="s">
        <v>149</v>
      </c>
      <c r="N275" s="80">
        <v>109956</v>
      </c>
    </row>
    <row r="276" spans="11:14">
      <c r="K276" s="80">
        <v>1297</v>
      </c>
      <c r="L276" s="80" t="s">
        <v>447</v>
      </c>
      <c r="M276" s="80" t="s">
        <v>173</v>
      </c>
      <c r="N276" s="80">
        <v>109755</v>
      </c>
    </row>
    <row r="277" spans="11:14">
      <c r="K277" s="80">
        <v>1298</v>
      </c>
      <c r="L277" s="80" t="s">
        <v>448</v>
      </c>
      <c r="M277" s="80" t="s">
        <v>145</v>
      </c>
      <c r="N277" s="80">
        <v>109470</v>
      </c>
    </row>
    <row r="278" spans="11:14">
      <c r="K278" s="80">
        <v>1299</v>
      </c>
      <c r="L278" s="80" t="s">
        <v>449</v>
      </c>
      <c r="M278" s="80" t="s">
        <v>151</v>
      </c>
      <c r="N278" s="80">
        <v>109196</v>
      </c>
    </row>
    <row r="279" spans="11:14">
      <c r="K279" s="80">
        <v>1300</v>
      </c>
      <c r="L279" s="80" t="s">
        <v>450</v>
      </c>
      <c r="M279" s="80" t="s">
        <v>145</v>
      </c>
      <c r="N279" s="80">
        <v>108578</v>
      </c>
    </row>
    <row r="280" spans="11:14">
      <c r="K280" s="80">
        <v>1301</v>
      </c>
      <c r="L280" s="80" t="s">
        <v>451</v>
      </c>
      <c r="M280" s="80" t="s">
        <v>149</v>
      </c>
      <c r="N280" s="80">
        <v>108518</v>
      </c>
    </row>
    <row r="281" spans="11:14">
      <c r="K281" s="80">
        <v>1302</v>
      </c>
      <c r="L281" s="80" t="s">
        <v>452</v>
      </c>
      <c r="M281" s="80" t="s">
        <v>176</v>
      </c>
      <c r="N281" s="80">
        <v>108304</v>
      </c>
    </row>
    <row r="282" spans="11:14">
      <c r="K282" s="80">
        <v>1303</v>
      </c>
      <c r="L282" s="80" t="s">
        <v>453</v>
      </c>
      <c r="M282" s="80" t="s">
        <v>173</v>
      </c>
      <c r="N282" s="80">
        <v>108277</v>
      </c>
    </row>
    <row r="283" spans="11:14">
      <c r="K283" s="80">
        <v>1304</v>
      </c>
      <c r="L283" s="80" t="s">
        <v>454</v>
      </c>
      <c r="M283" s="80" t="s">
        <v>161</v>
      </c>
      <c r="N283" s="80">
        <v>108016</v>
      </c>
    </row>
    <row r="284" spans="11:14">
      <c r="K284" s="80">
        <v>1305</v>
      </c>
      <c r="L284" s="80" t="s">
        <v>455</v>
      </c>
      <c r="M284" s="80" t="s">
        <v>155</v>
      </c>
      <c r="N284" s="80">
        <v>107592</v>
      </c>
    </row>
    <row r="285" spans="11:14">
      <c r="K285" s="80">
        <v>1306</v>
      </c>
      <c r="L285" s="80" t="s">
        <v>456</v>
      </c>
      <c r="M285" s="80" t="s">
        <v>163</v>
      </c>
      <c r="N285" s="80">
        <v>107425</v>
      </c>
    </row>
    <row r="286" spans="11:14">
      <c r="K286" s="80">
        <v>1307</v>
      </c>
      <c r="L286" s="80" t="s">
        <v>457</v>
      </c>
      <c r="M286" s="80" t="s">
        <v>149</v>
      </c>
      <c r="N286" s="80">
        <v>107365</v>
      </c>
    </row>
    <row r="287" spans="11:14">
      <c r="K287" s="80">
        <v>1308</v>
      </c>
      <c r="L287" s="80" t="s">
        <v>458</v>
      </c>
      <c r="M287" s="80" t="s">
        <v>151</v>
      </c>
      <c r="N287" s="80">
        <v>107187</v>
      </c>
    </row>
    <row r="288" spans="11:14">
      <c r="K288" s="80">
        <v>1309</v>
      </c>
      <c r="L288" s="80" t="s">
        <v>459</v>
      </c>
      <c r="M288" s="80" t="s">
        <v>176</v>
      </c>
      <c r="N288" s="80">
        <v>107163</v>
      </c>
    </row>
    <row r="289" spans="11:14">
      <c r="K289" s="80">
        <v>1310</v>
      </c>
      <c r="L289" s="80" t="s">
        <v>460</v>
      </c>
      <c r="M289" s="80" t="s">
        <v>163</v>
      </c>
      <c r="N289" s="80">
        <v>106605</v>
      </c>
    </row>
    <row r="290" spans="11:14">
      <c r="K290" s="80">
        <v>1311</v>
      </c>
      <c r="L290" s="80" t="s">
        <v>461</v>
      </c>
      <c r="M290" s="80" t="s">
        <v>151</v>
      </c>
      <c r="N290" s="80">
        <v>106523</v>
      </c>
    </row>
    <row r="291" spans="11:14">
      <c r="K291" s="80">
        <v>1312</v>
      </c>
      <c r="L291" s="80" t="s">
        <v>462</v>
      </c>
      <c r="M291" s="80" t="s">
        <v>163</v>
      </c>
      <c r="N291" s="80">
        <v>106078</v>
      </c>
    </row>
    <row r="292" spans="11:14">
      <c r="K292" s="80">
        <v>1313</v>
      </c>
      <c r="L292" s="80" t="s">
        <v>463</v>
      </c>
      <c r="M292" s="80" t="s">
        <v>158</v>
      </c>
      <c r="N292" s="80">
        <v>105973</v>
      </c>
    </row>
    <row r="293" spans="11:14">
      <c r="K293" s="80">
        <v>1314</v>
      </c>
      <c r="L293" s="80" t="s">
        <v>464</v>
      </c>
      <c r="M293" s="80" t="s">
        <v>155</v>
      </c>
      <c r="N293" s="80">
        <v>105380</v>
      </c>
    </row>
    <row r="294" spans="11:14">
      <c r="K294" s="80">
        <v>1315</v>
      </c>
      <c r="L294" s="80" t="s">
        <v>465</v>
      </c>
      <c r="M294" s="80" t="s">
        <v>171</v>
      </c>
      <c r="N294" s="80">
        <v>105363</v>
      </c>
    </row>
    <row r="295" spans="11:14">
      <c r="K295" s="80">
        <v>1316</v>
      </c>
      <c r="L295" s="80" t="s">
        <v>466</v>
      </c>
      <c r="M295" s="80" t="s">
        <v>155</v>
      </c>
      <c r="N295" s="80">
        <v>104651</v>
      </c>
    </row>
    <row r="296" spans="11:14">
      <c r="K296" s="80">
        <v>1317</v>
      </c>
      <c r="L296" s="80" t="s">
        <v>467</v>
      </c>
      <c r="M296" s="80" t="s">
        <v>158</v>
      </c>
      <c r="N296" s="80">
        <v>104585</v>
      </c>
    </row>
    <row r="297" spans="11:14">
      <c r="K297" s="80">
        <v>1318</v>
      </c>
      <c r="L297" s="80" t="s">
        <v>468</v>
      </c>
      <c r="M297" s="80" t="s">
        <v>263</v>
      </c>
      <c r="N297" s="80">
        <v>104195</v>
      </c>
    </row>
    <row r="298" spans="11:14">
      <c r="K298" s="80">
        <v>1319</v>
      </c>
      <c r="L298" s="80" t="s">
        <v>469</v>
      </c>
      <c r="M298" s="80" t="s">
        <v>209</v>
      </c>
      <c r="N298" s="80">
        <v>103579</v>
      </c>
    </row>
    <row r="299" spans="11:14">
      <c r="K299" s="80">
        <v>1320</v>
      </c>
      <c r="L299" s="80" t="s">
        <v>470</v>
      </c>
      <c r="M299" s="80" t="s">
        <v>145</v>
      </c>
      <c r="N299" s="80">
        <v>102985</v>
      </c>
    </row>
    <row r="300" spans="11:14">
      <c r="K300" s="80">
        <v>1321</v>
      </c>
      <c r="L300" s="80" t="s">
        <v>471</v>
      </c>
      <c r="M300" s="80" t="s">
        <v>149</v>
      </c>
      <c r="N300" s="80">
        <v>102649</v>
      </c>
    </row>
    <row r="301" spans="11:14">
      <c r="K301" s="80">
        <v>1322</v>
      </c>
      <c r="L301" s="80" t="s">
        <v>472</v>
      </c>
      <c r="M301" s="80" t="s">
        <v>158</v>
      </c>
      <c r="N301" s="80">
        <v>102176</v>
      </c>
    </row>
    <row r="302" spans="11:14">
      <c r="K302" s="80">
        <v>1323</v>
      </c>
      <c r="L302" s="80" t="s">
        <v>473</v>
      </c>
      <c r="M302" s="80" t="s">
        <v>163</v>
      </c>
      <c r="N302" s="80">
        <v>101660</v>
      </c>
    </row>
    <row r="303" spans="11:14">
      <c r="K303" s="80">
        <v>1324</v>
      </c>
      <c r="L303" s="80" t="s">
        <v>474</v>
      </c>
      <c r="M303" s="80" t="s">
        <v>155</v>
      </c>
      <c r="N303" s="80">
        <v>101656</v>
      </c>
    </row>
    <row r="304" spans="11:14">
      <c r="K304" s="80">
        <v>1325</v>
      </c>
      <c r="L304" s="80" t="s">
        <v>475</v>
      </c>
      <c r="M304" s="80" t="s">
        <v>149</v>
      </c>
      <c r="N304" s="80">
        <v>101409</v>
      </c>
    </row>
    <row r="305" spans="11:14">
      <c r="K305" s="80">
        <v>1326</v>
      </c>
      <c r="L305" s="80" t="s">
        <v>476</v>
      </c>
      <c r="M305" s="80" t="s">
        <v>149</v>
      </c>
      <c r="N305" s="80">
        <v>100867</v>
      </c>
    </row>
    <row r="306" spans="11:14">
      <c r="K306" s="80">
        <v>1327</v>
      </c>
      <c r="L306" s="80" t="s">
        <v>477</v>
      </c>
      <c r="M306" s="80" t="s">
        <v>155</v>
      </c>
      <c r="N306" s="80">
        <v>100836</v>
      </c>
    </row>
    <row r="307" spans="11:14">
      <c r="K307" s="80">
        <v>1328</v>
      </c>
      <c r="L307" s="80" t="s">
        <v>478</v>
      </c>
      <c r="M307" s="80" t="s">
        <v>149</v>
      </c>
      <c r="N307" s="80">
        <v>100513</v>
      </c>
    </row>
    <row r="308" spans="11:14">
      <c r="K308" s="80">
        <v>1329</v>
      </c>
      <c r="L308" s="80" t="s">
        <v>479</v>
      </c>
      <c r="M308" s="80" t="s">
        <v>173</v>
      </c>
      <c r="N308" s="80">
        <v>100490</v>
      </c>
    </row>
    <row r="309" spans="11:14">
      <c r="K309" s="80">
        <v>1330</v>
      </c>
      <c r="L309" s="80" t="s">
        <v>480</v>
      </c>
      <c r="M309" s="80" t="s">
        <v>149</v>
      </c>
      <c r="N309" s="80">
        <v>100347</v>
      </c>
    </row>
    <row r="310" spans="11:14">
      <c r="K310" s="80">
        <v>1331</v>
      </c>
      <c r="L310" s="80" t="s">
        <v>481</v>
      </c>
      <c r="M310" s="80" t="s">
        <v>149</v>
      </c>
      <c r="N310" s="80">
        <v>100223</v>
      </c>
    </row>
    <row r="311" spans="11:14">
      <c r="K311" s="80">
        <v>1332</v>
      </c>
      <c r="L311" s="80" t="s">
        <v>482</v>
      </c>
      <c r="M311" s="80" t="s">
        <v>149</v>
      </c>
      <c r="N311" s="80">
        <v>100194</v>
      </c>
    </row>
    <row r="312" spans="11:14">
      <c r="K312" s="80">
        <v>1333</v>
      </c>
      <c r="L312" s="80" t="s">
        <v>483</v>
      </c>
      <c r="M312" s="80" t="s">
        <v>171</v>
      </c>
      <c r="N312" s="80">
        <v>100079</v>
      </c>
    </row>
    <row r="313" spans="11:14">
      <c r="K313" s="80">
        <v>1334</v>
      </c>
      <c r="L313" s="80" t="s">
        <v>484</v>
      </c>
      <c r="M313" s="80" t="s">
        <v>149</v>
      </c>
      <c r="N313" s="80">
        <v>98818</v>
      </c>
    </row>
    <row r="314" spans="11:14">
      <c r="K314" s="80">
        <v>1335</v>
      </c>
      <c r="L314" s="80" t="s">
        <v>485</v>
      </c>
      <c r="M314" s="80" t="s">
        <v>163</v>
      </c>
      <c r="N314" s="80">
        <v>98640</v>
      </c>
    </row>
    <row r="315" spans="11:14">
      <c r="K315" s="80">
        <v>1336</v>
      </c>
      <c r="L315" s="80" t="s">
        <v>486</v>
      </c>
      <c r="M315" s="80" t="s">
        <v>151</v>
      </c>
      <c r="N315" s="80">
        <v>98619</v>
      </c>
    </row>
    <row r="316" spans="11:14">
      <c r="K316" s="80">
        <v>1337</v>
      </c>
      <c r="L316" s="80" t="s">
        <v>487</v>
      </c>
      <c r="M316" s="80" t="s">
        <v>183</v>
      </c>
      <c r="N316" s="80">
        <v>98220</v>
      </c>
    </row>
    <row r="317" spans="11:14">
      <c r="K317" s="80">
        <v>1338</v>
      </c>
      <c r="L317" s="80" t="s">
        <v>488</v>
      </c>
      <c r="M317" s="80" t="s">
        <v>203</v>
      </c>
      <c r="N317" s="80">
        <v>97712</v>
      </c>
    </row>
    <row r="318" spans="11:14">
      <c r="K318" s="80">
        <v>1339</v>
      </c>
      <c r="L318" s="80" t="s">
        <v>489</v>
      </c>
      <c r="M318" s="80" t="s">
        <v>151</v>
      </c>
      <c r="N318" s="80">
        <v>97662</v>
      </c>
    </row>
    <row r="319" spans="11:14">
      <c r="K319" s="80">
        <v>1340</v>
      </c>
      <c r="L319" s="80" t="s">
        <v>490</v>
      </c>
      <c r="M319" s="80" t="s">
        <v>163</v>
      </c>
      <c r="N319" s="80">
        <v>97227</v>
      </c>
    </row>
    <row r="320" spans="11:14">
      <c r="K320" s="80">
        <v>1341</v>
      </c>
      <c r="L320" s="80" t="s">
        <v>491</v>
      </c>
      <c r="M320" s="80" t="s">
        <v>158</v>
      </c>
      <c r="N320" s="80">
        <v>96813</v>
      </c>
    </row>
    <row r="321" spans="11:14">
      <c r="K321" s="80">
        <v>1342</v>
      </c>
      <c r="L321" s="80" t="s">
        <v>492</v>
      </c>
      <c r="M321" s="80" t="s">
        <v>161</v>
      </c>
      <c r="N321" s="80">
        <v>96322</v>
      </c>
    </row>
    <row r="322" spans="11:14">
      <c r="K322" s="80">
        <v>1343</v>
      </c>
      <c r="L322" s="80" t="s">
        <v>493</v>
      </c>
      <c r="M322" s="80" t="s">
        <v>149</v>
      </c>
      <c r="N322" s="80">
        <v>96315</v>
      </c>
    </row>
    <row r="323" spans="11:14">
      <c r="K323" s="80">
        <v>1344</v>
      </c>
      <c r="L323" s="80" t="s">
        <v>494</v>
      </c>
      <c r="M323" s="80" t="s">
        <v>145</v>
      </c>
      <c r="N323" s="80">
        <v>96216</v>
      </c>
    </row>
    <row r="324" spans="11:14">
      <c r="K324" s="80">
        <v>1345</v>
      </c>
      <c r="L324" s="80" t="s">
        <v>495</v>
      </c>
      <c r="M324" s="80" t="s">
        <v>158</v>
      </c>
      <c r="N324" s="80">
        <v>96109</v>
      </c>
    </row>
    <row r="325" spans="11:14">
      <c r="K325" s="80">
        <v>1346</v>
      </c>
      <c r="L325" s="80" t="s">
        <v>496</v>
      </c>
      <c r="M325" s="80" t="s">
        <v>173</v>
      </c>
      <c r="N325" s="80">
        <v>95758</v>
      </c>
    </row>
    <row r="326" spans="11:14">
      <c r="K326" s="80">
        <v>1347</v>
      </c>
      <c r="L326" s="80" t="s">
        <v>497</v>
      </c>
      <c r="M326" s="80" t="s">
        <v>173</v>
      </c>
      <c r="N326" s="80">
        <v>95661</v>
      </c>
    </row>
    <row r="327" spans="11:14">
      <c r="K327" s="80">
        <v>1348</v>
      </c>
      <c r="L327" s="80" t="s">
        <v>498</v>
      </c>
      <c r="M327" s="80" t="s">
        <v>145</v>
      </c>
      <c r="N327" s="80">
        <v>95133</v>
      </c>
    </row>
    <row r="328" spans="11:14">
      <c r="K328" s="80">
        <v>1349</v>
      </c>
      <c r="L328" s="80" t="s">
        <v>499</v>
      </c>
      <c r="M328" s="80" t="s">
        <v>163</v>
      </c>
      <c r="N328" s="80">
        <v>94876</v>
      </c>
    </row>
    <row r="329" spans="11:14">
      <c r="K329" s="80">
        <v>1350</v>
      </c>
      <c r="L329" s="80" t="s">
        <v>500</v>
      </c>
      <c r="M329" s="80" t="s">
        <v>183</v>
      </c>
      <c r="N329" s="80">
        <v>94526</v>
      </c>
    </row>
    <row r="330" spans="11:14">
      <c r="K330" s="80">
        <v>1351</v>
      </c>
      <c r="L330" s="80" t="s">
        <v>501</v>
      </c>
      <c r="M330" s="80" t="s">
        <v>146</v>
      </c>
      <c r="N330" s="80">
        <v>94326</v>
      </c>
    </row>
    <row r="331" spans="11:14">
      <c r="K331" s="80">
        <v>1352</v>
      </c>
      <c r="L331" s="80" t="s">
        <v>502</v>
      </c>
      <c r="M331" s="80" t="s">
        <v>173</v>
      </c>
      <c r="N331" s="80">
        <v>93731</v>
      </c>
    </row>
    <row r="332" spans="11:14">
      <c r="K332" s="80">
        <v>1353</v>
      </c>
      <c r="L332" s="80" t="s">
        <v>503</v>
      </c>
      <c r="M332" s="80" t="s">
        <v>149</v>
      </c>
      <c r="N332" s="80">
        <v>93447</v>
      </c>
    </row>
    <row r="333" spans="11:14">
      <c r="K333" s="80">
        <v>1354</v>
      </c>
      <c r="L333" s="80" t="s">
        <v>504</v>
      </c>
      <c r="M333" s="80" t="s">
        <v>206</v>
      </c>
      <c r="N333" s="80">
        <v>93350</v>
      </c>
    </row>
    <row r="334" spans="11:14">
      <c r="K334" s="80">
        <v>1355</v>
      </c>
      <c r="L334" s="80" t="s">
        <v>505</v>
      </c>
      <c r="M334" s="80" t="s">
        <v>163</v>
      </c>
      <c r="N334" s="80">
        <v>93109</v>
      </c>
    </row>
    <row r="335" spans="11:14">
      <c r="K335" s="80">
        <v>1356</v>
      </c>
      <c r="L335" s="80" t="s">
        <v>506</v>
      </c>
      <c r="M335" s="80" t="s">
        <v>173</v>
      </c>
      <c r="N335" s="80">
        <v>92917</v>
      </c>
    </row>
    <row r="336" spans="11:14">
      <c r="K336" s="80">
        <v>1357</v>
      </c>
      <c r="L336" s="80" t="s">
        <v>507</v>
      </c>
      <c r="M336" s="80" t="s">
        <v>183</v>
      </c>
      <c r="N336" s="80">
        <v>92583</v>
      </c>
    </row>
    <row r="337" spans="11:14">
      <c r="K337" s="80">
        <v>1358</v>
      </c>
      <c r="L337" s="80" t="s">
        <v>508</v>
      </c>
      <c r="M337" s="80" t="s">
        <v>203</v>
      </c>
      <c r="N337" s="80">
        <v>92574</v>
      </c>
    </row>
    <row r="338" spans="11:14">
      <c r="K338" s="80">
        <v>1359</v>
      </c>
      <c r="L338" s="80" t="s">
        <v>509</v>
      </c>
      <c r="M338" s="80" t="s">
        <v>161</v>
      </c>
      <c r="N338" s="80">
        <v>90803</v>
      </c>
    </row>
    <row r="339" spans="11:14">
      <c r="K339" s="80">
        <v>1360</v>
      </c>
      <c r="L339" s="80" t="s">
        <v>510</v>
      </c>
      <c r="M339" s="80" t="s">
        <v>195</v>
      </c>
      <c r="N339" s="80">
        <v>90712</v>
      </c>
    </row>
    <row r="340" spans="11:14">
      <c r="K340" s="80">
        <v>1361</v>
      </c>
      <c r="L340" s="80" t="s">
        <v>511</v>
      </c>
      <c r="M340" s="80" t="s">
        <v>149</v>
      </c>
      <c r="N340" s="80">
        <v>90601</v>
      </c>
    </row>
    <row r="341" spans="11:14">
      <c r="K341" s="80">
        <v>1362</v>
      </c>
      <c r="L341" s="80" t="s">
        <v>512</v>
      </c>
      <c r="M341" s="80" t="s">
        <v>158</v>
      </c>
      <c r="N341" s="80">
        <v>90357</v>
      </c>
    </row>
    <row r="342" spans="11:14">
      <c r="K342" s="80">
        <v>1363</v>
      </c>
      <c r="L342" s="80" t="s">
        <v>513</v>
      </c>
      <c r="M342" s="80" t="s">
        <v>224</v>
      </c>
      <c r="N342" s="80">
        <v>89166</v>
      </c>
    </row>
    <row r="343" spans="11:14">
      <c r="K343" s="80">
        <v>1364</v>
      </c>
      <c r="L343" s="80" t="s">
        <v>514</v>
      </c>
      <c r="M343" s="80" t="s">
        <v>158</v>
      </c>
      <c r="N343" s="80">
        <v>89053</v>
      </c>
    </row>
  </sheetData>
  <mergeCells count="2">
    <mergeCell ref="B11:I13"/>
    <mergeCell ref="B15:I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B1:O23"/>
  <sheetViews>
    <sheetView showGridLines="0" topLeftCell="A5" workbookViewId="0">
      <selection activeCell="C6" sqref="C6"/>
    </sheetView>
  </sheetViews>
  <sheetFormatPr defaultColWidth="9.109375" defaultRowHeight="13.8"/>
  <cols>
    <col min="1" max="16384" width="9.109375" style="64"/>
  </cols>
  <sheetData>
    <row r="1" spans="2:15" ht="6" customHeight="1"/>
    <row r="2" spans="2:15">
      <c r="B2" s="64" t="s">
        <v>515</v>
      </c>
    </row>
    <row r="3" spans="2:15" ht="6" customHeight="1"/>
    <row r="4" spans="2:15" ht="25.2">
      <c r="B4" s="92" t="s">
        <v>516</v>
      </c>
      <c r="C4" s="93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5"/>
    </row>
    <row r="5" spans="2:15">
      <c r="B5" s="96"/>
      <c r="C5" s="97">
        <f>COLUMNS($B5:C5)</f>
        <v>2</v>
      </c>
      <c r="D5" s="97">
        <f>COLUMNS($B5:D5)</f>
        <v>3</v>
      </c>
      <c r="E5" s="97">
        <f>COLUMNS($B5:E5)</f>
        <v>4</v>
      </c>
      <c r="F5" s="97">
        <f>COLUMNS($B5:F5)</f>
        <v>5</v>
      </c>
      <c r="G5" s="97">
        <f>COLUMNS($B5:G5)</f>
        <v>6</v>
      </c>
      <c r="H5" s="97">
        <f>COLUMNS($B5:H5)</f>
        <v>7</v>
      </c>
      <c r="I5" s="97">
        <f>COLUMNS($B5:I5)</f>
        <v>8</v>
      </c>
      <c r="J5" s="97">
        <f>COLUMNS($B5:J5)</f>
        <v>9</v>
      </c>
      <c r="K5" s="97">
        <f>COLUMNS($B5:K5)</f>
        <v>10</v>
      </c>
      <c r="L5" s="97">
        <f>COLUMNS($B5:L5)</f>
        <v>11</v>
      </c>
      <c r="M5" s="97">
        <f>COLUMNS($B5:M5)</f>
        <v>12</v>
      </c>
      <c r="N5" s="97">
        <f>COLUMNS($B5:N5)</f>
        <v>13</v>
      </c>
      <c r="O5" s="97">
        <f>COLUMNS($B5:O5)</f>
        <v>14</v>
      </c>
    </row>
    <row r="6" spans="2:15" ht="18" customHeight="1">
      <c r="B6" s="97">
        <f>ROWS(B$3:B6)</f>
        <v>4</v>
      </c>
      <c r="C6" s="132">
        <f>$B6*C$5</f>
        <v>8</v>
      </c>
      <c r="D6" s="132">
        <f t="shared" ref="D6:O6" si="0">$B6*D$5</f>
        <v>12</v>
      </c>
      <c r="E6" s="132">
        <f t="shared" si="0"/>
        <v>16</v>
      </c>
      <c r="F6" s="132">
        <f t="shared" si="0"/>
        <v>20</v>
      </c>
      <c r="G6" s="132">
        <f t="shared" si="0"/>
        <v>24</v>
      </c>
      <c r="H6" s="132">
        <f t="shared" si="0"/>
        <v>28</v>
      </c>
      <c r="I6" s="132">
        <f t="shared" si="0"/>
        <v>32</v>
      </c>
      <c r="J6" s="132">
        <f t="shared" si="0"/>
        <v>36</v>
      </c>
      <c r="K6" s="132">
        <f t="shared" si="0"/>
        <v>40</v>
      </c>
      <c r="L6" s="132">
        <f t="shared" si="0"/>
        <v>44</v>
      </c>
      <c r="M6" s="132">
        <f t="shared" si="0"/>
        <v>48</v>
      </c>
      <c r="N6" s="132">
        <f t="shared" si="0"/>
        <v>52</v>
      </c>
      <c r="O6" s="132">
        <f t="shared" si="0"/>
        <v>56</v>
      </c>
    </row>
    <row r="7" spans="2:15" ht="18" customHeight="1">
      <c r="B7" s="97">
        <f>ROWS(B$3:B7)</f>
        <v>5</v>
      </c>
      <c r="C7" s="132">
        <f t="shared" ref="C7:O18" si="1">$B7*C$5</f>
        <v>10</v>
      </c>
      <c r="D7" s="132">
        <f t="shared" si="1"/>
        <v>15</v>
      </c>
      <c r="E7" s="132">
        <f t="shared" si="1"/>
        <v>20</v>
      </c>
      <c r="F7" s="132">
        <f t="shared" si="1"/>
        <v>25</v>
      </c>
      <c r="G7" s="132">
        <f t="shared" si="1"/>
        <v>30</v>
      </c>
      <c r="H7" s="132">
        <f t="shared" si="1"/>
        <v>35</v>
      </c>
      <c r="I7" s="132">
        <f t="shared" si="1"/>
        <v>40</v>
      </c>
      <c r="J7" s="132">
        <f t="shared" si="1"/>
        <v>45</v>
      </c>
      <c r="K7" s="132">
        <f t="shared" si="1"/>
        <v>50</v>
      </c>
      <c r="L7" s="132">
        <f t="shared" si="1"/>
        <v>55</v>
      </c>
      <c r="M7" s="132">
        <f t="shared" si="1"/>
        <v>60</v>
      </c>
      <c r="N7" s="132">
        <f t="shared" si="1"/>
        <v>65</v>
      </c>
      <c r="O7" s="132">
        <f t="shared" si="1"/>
        <v>70</v>
      </c>
    </row>
    <row r="8" spans="2:15" ht="18" customHeight="1">
      <c r="B8" s="97">
        <f>ROWS(B$3:B8)</f>
        <v>6</v>
      </c>
      <c r="C8" s="132">
        <f t="shared" si="1"/>
        <v>12</v>
      </c>
      <c r="D8" s="132">
        <f t="shared" si="1"/>
        <v>18</v>
      </c>
      <c r="E8" s="132">
        <f t="shared" si="1"/>
        <v>24</v>
      </c>
      <c r="F8" s="132">
        <f t="shared" si="1"/>
        <v>30</v>
      </c>
      <c r="G8" s="132">
        <f t="shared" si="1"/>
        <v>36</v>
      </c>
      <c r="H8" s="132">
        <f t="shared" si="1"/>
        <v>42</v>
      </c>
      <c r="I8" s="132">
        <f t="shared" si="1"/>
        <v>48</v>
      </c>
      <c r="J8" s="132">
        <f t="shared" si="1"/>
        <v>54</v>
      </c>
      <c r="K8" s="132">
        <f t="shared" si="1"/>
        <v>60</v>
      </c>
      <c r="L8" s="132">
        <f t="shared" si="1"/>
        <v>66</v>
      </c>
      <c r="M8" s="132">
        <f t="shared" si="1"/>
        <v>72</v>
      </c>
      <c r="N8" s="132">
        <f t="shared" si="1"/>
        <v>78</v>
      </c>
      <c r="O8" s="132">
        <f t="shared" si="1"/>
        <v>84</v>
      </c>
    </row>
    <row r="9" spans="2:15" ht="18" customHeight="1">
      <c r="B9" s="97">
        <f>ROWS(B$3:B9)</f>
        <v>7</v>
      </c>
      <c r="C9" s="132">
        <f t="shared" si="1"/>
        <v>14</v>
      </c>
      <c r="D9" s="132">
        <f t="shared" si="1"/>
        <v>21</v>
      </c>
      <c r="E9" s="132">
        <f t="shared" si="1"/>
        <v>28</v>
      </c>
      <c r="F9" s="132">
        <f t="shared" si="1"/>
        <v>35</v>
      </c>
      <c r="G9" s="132">
        <f t="shared" si="1"/>
        <v>42</v>
      </c>
      <c r="H9" s="132">
        <f t="shared" si="1"/>
        <v>49</v>
      </c>
      <c r="I9" s="132">
        <f t="shared" si="1"/>
        <v>56</v>
      </c>
      <c r="J9" s="132">
        <f t="shared" si="1"/>
        <v>63</v>
      </c>
      <c r="K9" s="132">
        <f t="shared" si="1"/>
        <v>70</v>
      </c>
      <c r="L9" s="132">
        <f t="shared" si="1"/>
        <v>77</v>
      </c>
      <c r="M9" s="132">
        <f t="shared" si="1"/>
        <v>84</v>
      </c>
      <c r="N9" s="132">
        <f t="shared" si="1"/>
        <v>91</v>
      </c>
      <c r="O9" s="132">
        <f t="shared" si="1"/>
        <v>98</v>
      </c>
    </row>
    <row r="10" spans="2:15" ht="18" customHeight="1">
      <c r="B10" s="97">
        <f>ROWS(B$3:B10)</f>
        <v>8</v>
      </c>
      <c r="C10" s="132">
        <f t="shared" si="1"/>
        <v>16</v>
      </c>
      <c r="D10" s="132">
        <f t="shared" si="1"/>
        <v>24</v>
      </c>
      <c r="E10" s="132">
        <f t="shared" si="1"/>
        <v>32</v>
      </c>
      <c r="F10" s="132">
        <f t="shared" si="1"/>
        <v>40</v>
      </c>
      <c r="G10" s="132">
        <f t="shared" si="1"/>
        <v>48</v>
      </c>
      <c r="H10" s="132">
        <f t="shared" si="1"/>
        <v>56</v>
      </c>
      <c r="I10" s="132">
        <f t="shared" si="1"/>
        <v>64</v>
      </c>
      <c r="J10" s="132">
        <f t="shared" si="1"/>
        <v>72</v>
      </c>
      <c r="K10" s="132">
        <f t="shared" si="1"/>
        <v>80</v>
      </c>
      <c r="L10" s="132">
        <f t="shared" si="1"/>
        <v>88</v>
      </c>
      <c r="M10" s="132">
        <f t="shared" si="1"/>
        <v>96</v>
      </c>
      <c r="N10" s="132">
        <f t="shared" si="1"/>
        <v>104</v>
      </c>
      <c r="O10" s="132">
        <f t="shared" si="1"/>
        <v>112</v>
      </c>
    </row>
    <row r="11" spans="2:15" ht="18" customHeight="1">
      <c r="B11" s="97">
        <f>ROWS(B$3:B11)</f>
        <v>9</v>
      </c>
      <c r="C11" s="132">
        <f t="shared" si="1"/>
        <v>18</v>
      </c>
      <c r="D11" s="132">
        <f t="shared" si="1"/>
        <v>27</v>
      </c>
      <c r="E11" s="132">
        <f t="shared" si="1"/>
        <v>36</v>
      </c>
      <c r="F11" s="132">
        <f t="shared" si="1"/>
        <v>45</v>
      </c>
      <c r="G11" s="132">
        <f t="shared" si="1"/>
        <v>54</v>
      </c>
      <c r="H11" s="132">
        <f t="shared" si="1"/>
        <v>63</v>
      </c>
      <c r="I11" s="132">
        <f t="shared" si="1"/>
        <v>72</v>
      </c>
      <c r="J11" s="132">
        <f t="shared" si="1"/>
        <v>81</v>
      </c>
      <c r="K11" s="132">
        <f t="shared" si="1"/>
        <v>90</v>
      </c>
      <c r="L11" s="132">
        <f t="shared" si="1"/>
        <v>99</v>
      </c>
      <c r="M11" s="132">
        <f t="shared" si="1"/>
        <v>108</v>
      </c>
      <c r="N11" s="132">
        <f t="shared" si="1"/>
        <v>117</v>
      </c>
      <c r="O11" s="132">
        <f t="shared" si="1"/>
        <v>126</v>
      </c>
    </row>
    <row r="12" spans="2:15" ht="18" customHeight="1">
      <c r="B12" s="97">
        <f>ROWS(B$3:B12)</f>
        <v>10</v>
      </c>
      <c r="C12" s="132">
        <f t="shared" si="1"/>
        <v>20</v>
      </c>
      <c r="D12" s="132">
        <f t="shared" si="1"/>
        <v>30</v>
      </c>
      <c r="E12" s="132">
        <f t="shared" si="1"/>
        <v>40</v>
      </c>
      <c r="F12" s="132">
        <f t="shared" si="1"/>
        <v>50</v>
      </c>
      <c r="G12" s="132">
        <f t="shared" si="1"/>
        <v>60</v>
      </c>
      <c r="H12" s="132">
        <f t="shared" si="1"/>
        <v>70</v>
      </c>
      <c r="I12" s="132">
        <f t="shared" si="1"/>
        <v>80</v>
      </c>
      <c r="J12" s="132">
        <f t="shared" si="1"/>
        <v>90</v>
      </c>
      <c r="K12" s="132">
        <f t="shared" si="1"/>
        <v>100</v>
      </c>
      <c r="L12" s="132">
        <f t="shared" si="1"/>
        <v>110</v>
      </c>
      <c r="M12" s="132">
        <f t="shared" si="1"/>
        <v>120</v>
      </c>
      <c r="N12" s="132">
        <f t="shared" si="1"/>
        <v>130</v>
      </c>
      <c r="O12" s="132">
        <f t="shared" si="1"/>
        <v>140</v>
      </c>
    </row>
    <row r="13" spans="2:15" ht="18" customHeight="1">
      <c r="B13" s="97">
        <f>ROWS(B$3:B13)</f>
        <v>11</v>
      </c>
      <c r="C13" s="132">
        <f t="shared" si="1"/>
        <v>22</v>
      </c>
      <c r="D13" s="132">
        <f t="shared" si="1"/>
        <v>33</v>
      </c>
      <c r="E13" s="132">
        <f t="shared" si="1"/>
        <v>44</v>
      </c>
      <c r="F13" s="132">
        <f t="shared" si="1"/>
        <v>55</v>
      </c>
      <c r="G13" s="132">
        <f t="shared" si="1"/>
        <v>66</v>
      </c>
      <c r="H13" s="132">
        <f t="shared" si="1"/>
        <v>77</v>
      </c>
      <c r="I13" s="132">
        <f t="shared" si="1"/>
        <v>88</v>
      </c>
      <c r="J13" s="132">
        <f t="shared" si="1"/>
        <v>99</v>
      </c>
      <c r="K13" s="132">
        <f t="shared" si="1"/>
        <v>110</v>
      </c>
      <c r="L13" s="132">
        <f t="shared" si="1"/>
        <v>121</v>
      </c>
      <c r="M13" s="132">
        <f t="shared" si="1"/>
        <v>132</v>
      </c>
      <c r="N13" s="132">
        <f t="shared" si="1"/>
        <v>143</v>
      </c>
      <c r="O13" s="132">
        <f t="shared" si="1"/>
        <v>154</v>
      </c>
    </row>
    <row r="14" spans="2:15" ht="18" customHeight="1">
      <c r="B14" s="97">
        <f>ROWS(B$3:B14)</f>
        <v>12</v>
      </c>
      <c r="C14" s="132">
        <f t="shared" si="1"/>
        <v>24</v>
      </c>
      <c r="D14" s="132">
        <f t="shared" si="1"/>
        <v>36</v>
      </c>
      <c r="E14" s="132">
        <f t="shared" si="1"/>
        <v>48</v>
      </c>
      <c r="F14" s="132">
        <f t="shared" si="1"/>
        <v>60</v>
      </c>
      <c r="G14" s="132">
        <f t="shared" si="1"/>
        <v>72</v>
      </c>
      <c r="H14" s="132">
        <f t="shared" si="1"/>
        <v>84</v>
      </c>
      <c r="I14" s="132">
        <f t="shared" si="1"/>
        <v>96</v>
      </c>
      <c r="J14" s="132">
        <f t="shared" si="1"/>
        <v>108</v>
      </c>
      <c r="K14" s="132">
        <f t="shared" si="1"/>
        <v>120</v>
      </c>
      <c r="L14" s="132">
        <f t="shared" si="1"/>
        <v>132</v>
      </c>
      <c r="M14" s="132">
        <f t="shared" si="1"/>
        <v>144</v>
      </c>
      <c r="N14" s="132">
        <f t="shared" si="1"/>
        <v>156</v>
      </c>
      <c r="O14" s="132">
        <f t="shared" si="1"/>
        <v>168</v>
      </c>
    </row>
    <row r="15" spans="2:15" ht="18" customHeight="1">
      <c r="B15" s="97">
        <f>ROWS(B$3:B15)</f>
        <v>13</v>
      </c>
      <c r="C15" s="132">
        <f t="shared" si="1"/>
        <v>26</v>
      </c>
      <c r="D15" s="132">
        <f t="shared" si="1"/>
        <v>39</v>
      </c>
      <c r="E15" s="132">
        <f t="shared" si="1"/>
        <v>52</v>
      </c>
      <c r="F15" s="132">
        <f t="shared" si="1"/>
        <v>65</v>
      </c>
      <c r="G15" s="132">
        <f t="shared" si="1"/>
        <v>78</v>
      </c>
      <c r="H15" s="132">
        <f t="shared" si="1"/>
        <v>91</v>
      </c>
      <c r="I15" s="132">
        <f t="shared" si="1"/>
        <v>104</v>
      </c>
      <c r="J15" s="132">
        <f t="shared" si="1"/>
        <v>117</v>
      </c>
      <c r="K15" s="132">
        <f t="shared" si="1"/>
        <v>130</v>
      </c>
      <c r="L15" s="132">
        <f t="shared" si="1"/>
        <v>143</v>
      </c>
      <c r="M15" s="132">
        <f t="shared" si="1"/>
        <v>156</v>
      </c>
      <c r="N15" s="132">
        <f t="shared" si="1"/>
        <v>169</v>
      </c>
      <c r="O15" s="132">
        <f t="shared" si="1"/>
        <v>182</v>
      </c>
    </row>
    <row r="16" spans="2:15" ht="18" customHeight="1">
      <c r="B16" s="97">
        <f>ROWS(B$3:B16)</f>
        <v>14</v>
      </c>
      <c r="C16" s="132">
        <f t="shared" si="1"/>
        <v>28</v>
      </c>
      <c r="D16" s="132">
        <f t="shared" si="1"/>
        <v>42</v>
      </c>
      <c r="E16" s="132">
        <f t="shared" si="1"/>
        <v>56</v>
      </c>
      <c r="F16" s="132">
        <f t="shared" si="1"/>
        <v>70</v>
      </c>
      <c r="G16" s="132">
        <f t="shared" si="1"/>
        <v>84</v>
      </c>
      <c r="H16" s="132">
        <f t="shared" si="1"/>
        <v>98</v>
      </c>
      <c r="I16" s="132">
        <f t="shared" si="1"/>
        <v>112</v>
      </c>
      <c r="J16" s="132">
        <f t="shared" si="1"/>
        <v>126</v>
      </c>
      <c r="K16" s="132">
        <f t="shared" si="1"/>
        <v>140</v>
      </c>
      <c r="L16" s="132">
        <f t="shared" si="1"/>
        <v>154</v>
      </c>
      <c r="M16" s="132">
        <f t="shared" si="1"/>
        <v>168</v>
      </c>
      <c r="N16" s="132">
        <f t="shared" si="1"/>
        <v>182</v>
      </c>
      <c r="O16" s="132">
        <f t="shared" si="1"/>
        <v>196</v>
      </c>
    </row>
    <row r="17" spans="2:15" ht="18" customHeight="1">
      <c r="B17" s="97">
        <f>ROWS(B$3:B17)</f>
        <v>15</v>
      </c>
      <c r="C17" s="132">
        <f t="shared" si="1"/>
        <v>30</v>
      </c>
      <c r="D17" s="132">
        <f t="shared" si="1"/>
        <v>45</v>
      </c>
      <c r="E17" s="132">
        <f t="shared" si="1"/>
        <v>60</v>
      </c>
      <c r="F17" s="132">
        <f t="shared" si="1"/>
        <v>75</v>
      </c>
      <c r="G17" s="132">
        <f t="shared" si="1"/>
        <v>90</v>
      </c>
      <c r="H17" s="132">
        <f t="shared" si="1"/>
        <v>105</v>
      </c>
      <c r="I17" s="132">
        <f t="shared" si="1"/>
        <v>120</v>
      </c>
      <c r="J17" s="132">
        <f t="shared" si="1"/>
        <v>135</v>
      </c>
      <c r="K17" s="132">
        <f t="shared" si="1"/>
        <v>150</v>
      </c>
      <c r="L17" s="132">
        <f t="shared" si="1"/>
        <v>165</v>
      </c>
      <c r="M17" s="132">
        <f t="shared" si="1"/>
        <v>180</v>
      </c>
      <c r="N17" s="132">
        <f t="shared" si="1"/>
        <v>195</v>
      </c>
      <c r="O17" s="132">
        <f t="shared" si="1"/>
        <v>210</v>
      </c>
    </row>
    <row r="18" spans="2:15" ht="18" customHeight="1">
      <c r="B18" s="97">
        <f>ROWS(B$3:B18)</f>
        <v>16</v>
      </c>
      <c r="C18" s="132">
        <f t="shared" si="1"/>
        <v>32</v>
      </c>
      <c r="D18" s="132">
        <f t="shared" si="1"/>
        <v>48</v>
      </c>
      <c r="E18" s="132">
        <f t="shared" si="1"/>
        <v>64</v>
      </c>
      <c r="F18" s="132">
        <f t="shared" si="1"/>
        <v>80</v>
      </c>
      <c r="G18" s="132">
        <f t="shared" si="1"/>
        <v>96</v>
      </c>
      <c r="H18" s="132">
        <f t="shared" si="1"/>
        <v>112</v>
      </c>
      <c r="I18" s="132">
        <f t="shared" si="1"/>
        <v>128</v>
      </c>
      <c r="J18" s="132">
        <f t="shared" si="1"/>
        <v>144</v>
      </c>
      <c r="K18" s="132">
        <f t="shared" si="1"/>
        <v>160</v>
      </c>
      <c r="L18" s="132">
        <f t="shared" si="1"/>
        <v>176</v>
      </c>
      <c r="M18" s="132">
        <f t="shared" si="1"/>
        <v>192</v>
      </c>
      <c r="N18" s="132">
        <f t="shared" si="1"/>
        <v>208</v>
      </c>
      <c r="O18" s="132">
        <f t="shared" si="1"/>
        <v>224</v>
      </c>
    </row>
    <row r="21" spans="2:15">
      <c r="C21" s="189" t="s">
        <v>588</v>
      </c>
      <c r="D21" s="189"/>
      <c r="E21" s="189"/>
      <c r="F21" s="189"/>
      <c r="G21" s="189"/>
      <c r="H21" s="189"/>
      <c r="I21" s="189"/>
      <c r="J21" s="189"/>
      <c r="K21" s="189"/>
      <c r="L21" s="189"/>
    </row>
    <row r="22" spans="2:15">
      <c r="C22" s="189"/>
      <c r="D22" s="189"/>
      <c r="E22" s="189"/>
      <c r="F22" s="189"/>
      <c r="G22" s="189"/>
      <c r="H22" s="189"/>
      <c r="I22" s="189"/>
      <c r="J22" s="189"/>
      <c r="K22" s="189"/>
      <c r="L22" s="189"/>
    </row>
    <row r="23" spans="2:15">
      <c r="C23" s="189"/>
      <c r="D23" s="189"/>
      <c r="E23" s="189"/>
      <c r="F23" s="189"/>
      <c r="G23" s="189"/>
      <c r="H23" s="189"/>
      <c r="I23" s="189"/>
      <c r="J23" s="189"/>
      <c r="K23" s="189"/>
      <c r="L23" s="189"/>
    </row>
  </sheetData>
  <mergeCells count="1">
    <mergeCell ref="C21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syncVertical="1" syncRef="A1" transitionEvaluation="1" codeName="Sheet10">
    <pageSetUpPr fitToPage="1"/>
  </sheetPr>
  <dimension ref="A2:J34"/>
  <sheetViews>
    <sheetView showGridLines="0" workbookViewId="0">
      <selection activeCell="C6" sqref="C6"/>
    </sheetView>
  </sheetViews>
  <sheetFormatPr defaultColWidth="11.6640625" defaultRowHeight="15.6"/>
  <cols>
    <col min="1" max="1" width="13" style="76" customWidth="1"/>
    <col min="2" max="2" width="18" style="76" customWidth="1"/>
    <col min="3" max="3" width="20.88671875" style="76" bestFit="1" customWidth="1"/>
    <col min="4" max="4" width="17.109375" style="76" customWidth="1"/>
    <col min="5" max="5" width="6.6640625" style="76" customWidth="1"/>
    <col min="6" max="6" width="19.88671875" style="76" customWidth="1"/>
    <col min="7" max="7" width="20.6640625" style="76" bestFit="1" customWidth="1"/>
    <col min="8" max="8" width="3.44140625" style="76" customWidth="1"/>
    <col min="9" max="9" width="4.33203125" style="76" customWidth="1"/>
    <col min="10" max="10" width="32.109375" style="76" bestFit="1" customWidth="1"/>
    <col min="11" max="16384" width="11.6640625" style="76"/>
  </cols>
  <sheetData>
    <row r="2" spans="1:10">
      <c r="A2" s="98" t="s">
        <v>517</v>
      </c>
      <c r="B2" s="99"/>
      <c r="C2" s="99"/>
      <c r="D2" s="99"/>
      <c r="E2" s="99"/>
      <c r="F2" s="99"/>
      <c r="G2" s="100"/>
    </row>
    <row r="3" spans="1:10">
      <c r="A3" s="101" t="s">
        <v>518</v>
      </c>
      <c r="B3" s="102"/>
      <c r="C3" s="102"/>
      <c r="D3" s="102"/>
      <c r="E3" s="102"/>
      <c r="F3" s="102"/>
      <c r="G3" s="103"/>
    </row>
    <row r="5" spans="1:10" ht="24" customHeight="1">
      <c r="A5" s="104" t="s">
        <v>519</v>
      </c>
      <c r="B5" s="104" t="s">
        <v>520</v>
      </c>
      <c r="C5" s="104" t="s">
        <v>521</v>
      </c>
      <c r="D5" s="104" t="s">
        <v>522</v>
      </c>
      <c r="E5" s="105"/>
      <c r="F5" s="104" t="s">
        <v>520</v>
      </c>
      <c r="G5" s="104" t="s">
        <v>521</v>
      </c>
      <c r="H5" s="105"/>
      <c r="I5" s="105"/>
      <c r="J5" s="104" t="s">
        <v>523</v>
      </c>
    </row>
    <row r="6" spans="1:10">
      <c r="A6" s="106">
        <v>39451</v>
      </c>
      <c r="B6" s="106" t="s">
        <v>524</v>
      </c>
      <c r="C6" s="106" t="str">
        <f>VLOOKUP(B6,$F$5:$G$9,2,0)</f>
        <v>Hemant Punia</v>
      </c>
      <c r="D6" s="106">
        <v>45</v>
      </c>
      <c r="F6" s="106" t="s">
        <v>525</v>
      </c>
      <c r="G6" s="106" t="s">
        <v>526</v>
      </c>
      <c r="J6" s="106" t="str">
        <f>LEFT(G6,FIND(" ",G6)-1)</f>
        <v>Karan</v>
      </c>
    </row>
    <row r="7" spans="1:10">
      <c r="A7" s="106">
        <v>39458</v>
      </c>
      <c r="B7" s="106" t="s">
        <v>527</v>
      </c>
      <c r="C7" s="106" t="str">
        <f t="shared" ref="C7:C32" si="0">VLOOKUP(B7,$F$5:$G$9,2,0)</f>
        <v>Raghav Chawla</v>
      </c>
      <c r="D7" s="106">
        <v>50</v>
      </c>
      <c r="F7" s="106" t="s">
        <v>527</v>
      </c>
      <c r="G7" s="106" t="s">
        <v>528</v>
      </c>
      <c r="J7" s="106" t="str">
        <f t="shared" ref="J7:J9" si="1">LEFT(G7,FIND(" ",G7)-1)</f>
        <v>Raghav</v>
      </c>
    </row>
    <row r="8" spans="1:10">
      <c r="A8" s="106">
        <v>39465</v>
      </c>
      <c r="B8" s="106" t="s">
        <v>529</v>
      </c>
      <c r="C8" s="106" t="str">
        <f t="shared" si="0"/>
        <v>Saurabh Sharma</v>
      </c>
      <c r="D8" s="106">
        <v>55</v>
      </c>
      <c r="F8" s="106" t="s">
        <v>529</v>
      </c>
      <c r="G8" s="106" t="s">
        <v>530</v>
      </c>
      <c r="J8" s="106" t="str">
        <f t="shared" si="1"/>
        <v>Saurabh</v>
      </c>
    </row>
    <row r="9" spans="1:10">
      <c r="A9" s="106">
        <v>39472</v>
      </c>
      <c r="B9" s="106" t="s">
        <v>524</v>
      </c>
      <c r="C9" s="106" t="str">
        <f t="shared" si="0"/>
        <v>Hemant Punia</v>
      </c>
      <c r="D9" s="106">
        <v>70</v>
      </c>
      <c r="F9" s="106" t="s">
        <v>524</v>
      </c>
      <c r="G9" s="106" t="s">
        <v>531</v>
      </c>
      <c r="J9" s="106" t="str">
        <f t="shared" si="1"/>
        <v>Hemant</v>
      </c>
    </row>
    <row r="10" spans="1:10">
      <c r="A10" s="106">
        <v>39479</v>
      </c>
      <c r="B10" s="106" t="s">
        <v>525</v>
      </c>
      <c r="C10" s="106" t="str">
        <f t="shared" si="0"/>
        <v>Karan Singhal</v>
      </c>
      <c r="D10" s="106">
        <v>20</v>
      </c>
    </row>
    <row r="11" spans="1:10">
      <c r="A11" s="106">
        <v>39486</v>
      </c>
      <c r="B11" s="106" t="s">
        <v>527</v>
      </c>
      <c r="C11" s="106" t="str">
        <f t="shared" si="0"/>
        <v>Raghav Chawla</v>
      </c>
      <c r="D11" s="106">
        <v>100</v>
      </c>
    </row>
    <row r="12" spans="1:10">
      <c r="A12" s="106">
        <v>39493</v>
      </c>
      <c r="B12" s="106" t="s">
        <v>529</v>
      </c>
      <c r="C12" s="106" t="str">
        <f t="shared" si="0"/>
        <v>Saurabh Sharma</v>
      </c>
      <c r="D12" s="106">
        <v>150</v>
      </c>
    </row>
    <row r="13" spans="1:10">
      <c r="A13" s="106">
        <v>39500</v>
      </c>
      <c r="B13" s="106" t="s">
        <v>524</v>
      </c>
      <c r="C13" s="106" t="str">
        <f t="shared" si="0"/>
        <v>Hemant Punia</v>
      </c>
      <c r="D13" s="106">
        <v>120</v>
      </c>
      <c r="F13" s="76">
        <f>COUNTIFS($B$6:$B$32,$F6,$C$6:$C$32,$G6)</f>
        <v>6</v>
      </c>
    </row>
    <row r="14" spans="1:10">
      <c r="A14" s="106">
        <v>39506</v>
      </c>
      <c r="B14" s="106" t="s">
        <v>525</v>
      </c>
      <c r="C14" s="106" t="str">
        <f t="shared" si="0"/>
        <v>Karan Singhal</v>
      </c>
      <c r="D14" s="106">
        <v>175</v>
      </c>
    </row>
    <row r="15" spans="1:10">
      <c r="A15" s="106">
        <v>39514</v>
      </c>
      <c r="B15" s="106" t="s">
        <v>527</v>
      </c>
      <c r="C15" s="106" t="str">
        <f t="shared" si="0"/>
        <v>Raghav Chawla</v>
      </c>
      <c r="D15" s="106">
        <v>135</v>
      </c>
    </row>
    <row r="16" spans="1:10">
      <c r="A16" s="106">
        <v>39521</v>
      </c>
      <c r="B16" s="106" t="s">
        <v>529</v>
      </c>
      <c r="C16" s="106" t="str">
        <f t="shared" si="0"/>
        <v>Saurabh Sharma</v>
      </c>
      <c r="D16" s="106">
        <v>20</v>
      </c>
    </row>
    <row r="17" spans="1:4">
      <c r="A17" s="106">
        <v>39528</v>
      </c>
      <c r="B17" s="106" t="s">
        <v>524</v>
      </c>
      <c r="C17" s="106" t="str">
        <f t="shared" si="0"/>
        <v>Hemant Punia</v>
      </c>
      <c r="D17" s="106">
        <v>25</v>
      </c>
    </row>
    <row r="18" spans="1:4">
      <c r="A18" s="106">
        <v>39535</v>
      </c>
      <c r="B18" s="106" t="s">
        <v>525</v>
      </c>
      <c r="C18" s="106" t="str">
        <f t="shared" si="0"/>
        <v>Karan Singhal</v>
      </c>
      <c r="D18" s="106">
        <v>26</v>
      </c>
    </row>
    <row r="19" spans="1:4">
      <c r="A19" s="106">
        <v>39542</v>
      </c>
      <c r="B19" s="106" t="s">
        <v>527</v>
      </c>
      <c r="C19" s="106" t="str">
        <f t="shared" si="0"/>
        <v>Raghav Chawla</v>
      </c>
      <c r="D19" s="106">
        <v>27</v>
      </c>
    </row>
    <row r="20" spans="1:4">
      <c r="A20" s="106">
        <v>39549</v>
      </c>
      <c r="B20" s="106" t="s">
        <v>529</v>
      </c>
      <c r="C20" s="106" t="str">
        <f t="shared" si="0"/>
        <v>Saurabh Sharma</v>
      </c>
      <c r="D20" s="106">
        <v>28</v>
      </c>
    </row>
    <row r="21" spans="1:4">
      <c r="A21" s="106">
        <v>39556</v>
      </c>
      <c r="B21" s="106" t="s">
        <v>524</v>
      </c>
      <c r="C21" s="106" t="str">
        <f t="shared" si="0"/>
        <v>Hemant Punia</v>
      </c>
      <c r="D21" s="106">
        <v>29</v>
      </c>
    </row>
    <row r="22" spans="1:4">
      <c r="A22" s="106">
        <v>39563</v>
      </c>
      <c r="B22" s="106" t="s">
        <v>525</v>
      </c>
      <c r="C22" s="106" t="str">
        <f t="shared" si="0"/>
        <v>Karan Singhal</v>
      </c>
      <c r="D22" s="106">
        <v>30</v>
      </c>
    </row>
    <row r="23" spans="1:4">
      <c r="A23" s="106">
        <v>39570</v>
      </c>
      <c r="B23" s="106" t="s">
        <v>527</v>
      </c>
      <c r="C23" s="106" t="str">
        <f t="shared" si="0"/>
        <v>Raghav Chawla</v>
      </c>
      <c r="D23" s="106">
        <v>31</v>
      </c>
    </row>
    <row r="24" spans="1:4">
      <c r="A24" s="106">
        <v>39577</v>
      </c>
      <c r="B24" s="106" t="s">
        <v>529</v>
      </c>
      <c r="C24" s="106" t="str">
        <f t="shared" si="0"/>
        <v>Saurabh Sharma</v>
      </c>
      <c r="D24" s="106">
        <v>32</v>
      </c>
    </row>
    <row r="25" spans="1:4">
      <c r="A25" s="106">
        <v>39584</v>
      </c>
      <c r="B25" s="106" t="s">
        <v>524</v>
      </c>
      <c r="C25" s="106" t="str">
        <f t="shared" si="0"/>
        <v>Hemant Punia</v>
      </c>
      <c r="D25" s="106">
        <v>33</v>
      </c>
    </row>
    <row r="26" spans="1:4">
      <c r="A26" s="106">
        <v>39591</v>
      </c>
      <c r="B26" s="106" t="s">
        <v>525</v>
      </c>
      <c r="C26" s="106" t="str">
        <f t="shared" si="0"/>
        <v>Karan Singhal</v>
      </c>
      <c r="D26" s="106">
        <v>34</v>
      </c>
    </row>
    <row r="27" spans="1:4">
      <c r="A27" s="106">
        <v>39598</v>
      </c>
      <c r="B27" s="106" t="s">
        <v>527</v>
      </c>
      <c r="C27" s="106" t="str">
        <f t="shared" si="0"/>
        <v>Raghav Chawla</v>
      </c>
      <c r="D27" s="106">
        <v>35</v>
      </c>
    </row>
    <row r="28" spans="1:4">
      <c r="A28" s="106">
        <v>39605</v>
      </c>
      <c r="B28" s="106" t="s">
        <v>529</v>
      </c>
      <c r="C28" s="106" t="str">
        <f t="shared" si="0"/>
        <v>Saurabh Sharma</v>
      </c>
      <c r="D28" s="106">
        <v>36</v>
      </c>
    </row>
    <row r="29" spans="1:4">
      <c r="A29" s="106">
        <v>39612</v>
      </c>
      <c r="B29" s="106" t="s">
        <v>524</v>
      </c>
      <c r="C29" s="106" t="str">
        <f t="shared" si="0"/>
        <v>Hemant Punia</v>
      </c>
      <c r="D29" s="106">
        <v>37</v>
      </c>
    </row>
    <row r="30" spans="1:4">
      <c r="A30" s="106">
        <v>39619</v>
      </c>
      <c r="B30" s="106" t="s">
        <v>525</v>
      </c>
      <c r="C30" s="106" t="str">
        <f t="shared" si="0"/>
        <v>Karan Singhal</v>
      </c>
      <c r="D30" s="106">
        <v>38</v>
      </c>
    </row>
    <row r="31" spans="1:4">
      <c r="A31" s="106">
        <v>39626</v>
      </c>
      <c r="B31" s="106" t="s">
        <v>527</v>
      </c>
      <c r="C31" s="106" t="str">
        <f t="shared" si="0"/>
        <v>Raghav Chawla</v>
      </c>
      <c r="D31" s="106">
        <v>39</v>
      </c>
    </row>
    <row r="32" spans="1:4">
      <c r="A32" s="106">
        <v>39633</v>
      </c>
      <c r="B32" s="106" t="s">
        <v>529</v>
      </c>
      <c r="C32" s="106" t="str">
        <f t="shared" si="0"/>
        <v>Saurabh Sharma</v>
      </c>
      <c r="D32" s="106">
        <v>40</v>
      </c>
    </row>
    <row r="34" spans="2:2">
      <c r="B34" s="76" t="s">
        <v>532</v>
      </c>
    </row>
  </sheetData>
  <printOptions headings="1" gridLinesSet="0"/>
  <pageMargins left="0.75" right="0.75" top="1" bottom="1" header="0.5" footer="0.5"/>
  <pageSetup paperSize="9" scale="85" orientation="portrait" horizontalDpi="4294967292" verticalDpi="4294967292" r:id="rId1"/>
  <headerFooter alignWithMargins="0">
    <oddHeader>&amp;L&amp;"Helv,Bold Italic"&amp;F&amp;C&amp;"Helv,Bold Italic"&amp;A</oddHeader>
    <oddFooter>&amp;L&amp;"Helv,Bold Italic"Aidan Perdisatt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B1:K28"/>
  <sheetViews>
    <sheetView showGridLines="0" workbookViewId="0">
      <selection activeCell="K8" sqref="K8"/>
    </sheetView>
  </sheetViews>
  <sheetFormatPr defaultColWidth="9.109375" defaultRowHeight="13.8"/>
  <cols>
    <col min="1" max="1" width="3" style="64" customWidth="1"/>
    <col min="2" max="2" width="12.109375" style="64" customWidth="1"/>
    <col min="3" max="3" width="10.88671875" style="64" bestFit="1" customWidth="1"/>
    <col min="4" max="7" width="9.109375" style="64"/>
    <col min="8" max="8" width="17" style="64" bestFit="1" customWidth="1"/>
    <col min="9" max="9" width="9.88671875" style="64" bestFit="1" customWidth="1"/>
    <col min="10" max="10" width="9.109375" style="64"/>
    <col min="11" max="11" width="77.88671875" style="64" bestFit="1" customWidth="1"/>
    <col min="12" max="16384" width="9.109375" style="64"/>
  </cols>
  <sheetData>
    <row r="1" spans="2:11" ht="4.5" customHeight="1"/>
    <row r="2" spans="2:11">
      <c r="B2" s="190" t="s">
        <v>533</v>
      </c>
      <c r="C2" s="191"/>
      <c r="D2" s="191"/>
      <c r="E2" s="191"/>
      <c r="F2" s="191"/>
      <c r="G2" s="191"/>
      <c r="H2" s="191"/>
      <c r="I2" s="192"/>
    </row>
    <row r="3" spans="2:11" ht="9" customHeight="1"/>
    <row r="4" spans="2:11">
      <c r="C4" s="107" t="s">
        <v>534</v>
      </c>
      <c r="D4" s="107" t="s">
        <v>535</v>
      </c>
    </row>
    <row r="5" spans="2:11">
      <c r="C5" s="108" t="s">
        <v>536</v>
      </c>
      <c r="D5" s="109"/>
      <c r="H5" s="110" t="s">
        <v>537</v>
      </c>
      <c r="I5" s="110" t="s">
        <v>534</v>
      </c>
    </row>
    <row r="6" spans="2:11">
      <c r="C6" s="108" t="s">
        <v>538</v>
      </c>
      <c r="D6" s="111"/>
      <c r="H6" s="112" t="s">
        <v>539</v>
      </c>
      <c r="I6" s="113">
        <v>207</v>
      </c>
      <c r="K6" s="114"/>
    </row>
    <row r="7" spans="2:11">
      <c r="C7" s="108" t="s">
        <v>540</v>
      </c>
      <c r="D7" s="115"/>
      <c r="H7" s="112" t="s">
        <v>541</v>
      </c>
      <c r="I7" s="113">
        <v>2916</v>
      </c>
      <c r="K7" s="114"/>
    </row>
    <row r="8" spans="2:11">
      <c r="H8" s="112" t="s">
        <v>542</v>
      </c>
      <c r="I8" s="113">
        <v>45</v>
      </c>
      <c r="K8" s="114"/>
    </row>
    <row r="9" spans="2:11">
      <c r="H9" s="112" t="s">
        <v>543</v>
      </c>
      <c r="I9" s="113">
        <v>27</v>
      </c>
      <c r="K9" s="114"/>
    </row>
    <row r="10" spans="2:11">
      <c r="H10" s="112" t="s">
        <v>544</v>
      </c>
      <c r="I10" s="113">
        <v>3915</v>
      </c>
    </row>
    <row r="11" spans="2:11">
      <c r="H11" s="112" t="s">
        <v>545</v>
      </c>
      <c r="I11" s="113">
        <v>207</v>
      </c>
    </row>
    <row r="12" spans="2:11">
      <c r="H12" s="112" t="s">
        <v>546</v>
      </c>
      <c r="I12" s="113">
        <v>45</v>
      </c>
    </row>
    <row r="13" spans="2:11">
      <c r="H13" s="112" t="s">
        <v>547</v>
      </c>
      <c r="I13" s="113">
        <v>27</v>
      </c>
    </row>
    <row r="14" spans="2:11">
      <c r="H14" s="112" t="s">
        <v>548</v>
      </c>
      <c r="I14" s="113">
        <v>54</v>
      </c>
    </row>
    <row r="15" spans="2:11">
      <c r="H15" s="112" t="s">
        <v>549</v>
      </c>
      <c r="I15" s="113">
        <v>2106</v>
      </c>
    </row>
    <row r="16" spans="2:11">
      <c r="H16" s="112" t="s">
        <v>550</v>
      </c>
      <c r="I16" s="113">
        <v>54</v>
      </c>
    </row>
    <row r="17" spans="8:9">
      <c r="H17" s="112" t="s">
        <v>551</v>
      </c>
      <c r="I17" s="113">
        <v>54</v>
      </c>
    </row>
    <row r="18" spans="8:9">
      <c r="H18" s="112" t="s">
        <v>552</v>
      </c>
      <c r="I18" s="113">
        <v>3078</v>
      </c>
    </row>
    <row r="19" spans="8:9">
      <c r="H19" s="112" t="s">
        <v>553</v>
      </c>
      <c r="I19" s="113">
        <v>387</v>
      </c>
    </row>
    <row r="20" spans="8:9">
      <c r="H20" s="112" t="s">
        <v>554</v>
      </c>
      <c r="I20" s="113">
        <v>585</v>
      </c>
    </row>
    <row r="21" spans="8:9">
      <c r="H21" s="112" t="s">
        <v>555</v>
      </c>
      <c r="I21" s="113">
        <v>585</v>
      </c>
    </row>
    <row r="22" spans="8:9">
      <c r="H22" s="112" t="s">
        <v>556</v>
      </c>
      <c r="I22" s="113">
        <v>6606</v>
      </c>
    </row>
    <row r="23" spans="8:9">
      <c r="H23" s="112" t="s">
        <v>557</v>
      </c>
      <c r="I23" s="113">
        <v>4806</v>
      </c>
    </row>
    <row r="24" spans="8:9">
      <c r="H24" s="112" t="s">
        <v>558</v>
      </c>
      <c r="I24" s="113">
        <v>675</v>
      </c>
    </row>
    <row r="25" spans="8:9">
      <c r="H25" s="112" t="s">
        <v>559</v>
      </c>
      <c r="I25" s="113">
        <v>36</v>
      </c>
    </row>
    <row r="26" spans="8:9">
      <c r="H26" s="112" t="s">
        <v>560</v>
      </c>
      <c r="I26" s="113">
        <v>477</v>
      </c>
    </row>
    <row r="27" spans="8:9">
      <c r="H27" s="112" t="s">
        <v>561</v>
      </c>
      <c r="I27" s="113">
        <v>6606</v>
      </c>
    </row>
    <row r="28" spans="8:9">
      <c r="H28" s="112" t="s">
        <v>562</v>
      </c>
      <c r="I28" s="113">
        <v>4806</v>
      </c>
    </row>
  </sheetData>
  <mergeCells count="1">
    <mergeCell ref="B2:I2"/>
  </mergeCells>
  <conditionalFormatting sqref="H5:I28">
    <cfRule type="cellIs" dxfId="2" priority="2" operator="between">
      <formula>100</formula>
      <formula>1000</formula>
    </cfRule>
    <cfRule type="cellIs" dxfId="1" priority="3" operator="lessThan">
      <formula>100</formula>
    </cfRule>
  </conditionalFormatting>
  <conditionalFormatting sqref="I6">
    <cfRule type="cellIs" dxfId="0" priority="1" operator="lessThan">
      <formula>100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B2:S56"/>
  <sheetViews>
    <sheetView showGridLines="0" tabSelected="1" topLeftCell="A3" zoomScale="80" zoomScaleNormal="80" workbookViewId="0">
      <selection activeCell="M14" sqref="M14"/>
    </sheetView>
  </sheetViews>
  <sheetFormatPr defaultColWidth="9.109375" defaultRowHeight="13.8"/>
  <cols>
    <col min="1" max="1" width="3.5546875" style="64" customWidth="1"/>
    <col min="2" max="2" width="18.88671875" style="64" customWidth="1"/>
    <col min="3" max="3" width="21" style="64" customWidth="1"/>
    <col min="4" max="4" width="13.109375" style="64" customWidth="1"/>
    <col min="5" max="6" width="6.88671875" style="64" customWidth="1"/>
    <col min="7" max="7" width="9.109375" style="64"/>
    <col min="8" max="8" width="17.109375" style="64" bestFit="1" customWidth="1"/>
    <col min="9" max="9" width="15.6640625" style="64" customWidth="1"/>
    <col min="10" max="12" width="9.109375" style="64"/>
    <col min="13" max="13" width="22.6640625" style="64" bestFit="1" customWidth="1"/>
    <col min="14" max="14" width="19.33203125" style="64" bestFit="1" customWidth="1"/>
    <col min="15" max="15" width="7.44140625" style="64" bestFit="1" customWidth="1"/>
    <col min="16" max="16384" width="9.109375" style="64"/>
  </cols>
  <sheetData>
    <row r="2" spans="2:19" ht="24.9" customHeight="1">
      <c r="B2" s="116" t="s">
        <v>563</v>
      </c>
      <c r="C2" s="117"/>
      <c r="D2" s="117"/>
      <c r="E2" s="117"/>
      <c r="F2" s="117"/>
      <c r="G2" s="117"/>
      <c r="H2" s="117"/>
      <c r="I2" s="117"/>
      <c r="J2" s="117"/>
      <c r="K2" s="118"/>
    </row>
    <row r="3" spans="2:19" ht="24.9" customHeight="1">
      <c r="B3" s="119" t="s">
        <v>564</v>
      </c>
      <c r="C3" s="120"/>
      <c r="D3" s="120"/>
      <c r="E3" s="120"/>
      <c r="F3" s="120"/>
      <c r="G3" s="120"/>
      <c r="H3" s="120"/>
      <c r="I3" s="120"/>
      <c r="J3" s="120"/>
      <c r="K3" s="121"/>
      <c r="M3" s="64" t="s">
        <v>583</v>
      </c>
    </row>
    <row r="4" spans="2:19" ht="7.5" customHeight="1">
      <c r="B4"/>
      <c r="C4"/>
      <c r="D4"/>
      <c r="E4"/>
      <c r="F4"/>
      <c r="G4"/>
      <c r="H4"/>
      <c r="I4"/>
      <c r="J4"/>
      <c r="K4"/>
    </row>
    <row r="6" spans="2:19" s="123" customFormat="1" ht="20.100000000000001" customHeight="1">
      <c r="B6" s="122" t="s">
        <v>565</v>
      </c>
      <c r="C6" s="122" t="s">
        <v>566</v>
      </c>
      <c r="D6" s="122" t="s">
        <v>567</v>
      </c>
      <c r="H6" s="138" t="s">
        <v>568</v>
      </c>
      <c r="I6" s="138" t="s">
        <v>568</v>
      </c>
      <c r="M6" s="64"/>
      <c r="N6" s="64"/>
      <c r="O6" s="64"/>
      <c r="Q6" s="64"/>
      <c r="R6" s="64"/>
      <c r="S6" s="64"/>
    </row>
    <row r="7" spans="2:19" ht="16.8">
      <c r="B7" s="124" t="s">
        <v>569</v>
      </c>
      <c r="C7" s="124" t="s">
        <v>113</v>
      </c>
      <c r="D7" s="106">
        <v>181</v>
      </c>
      <c r="H7" s="137">
        <f>RANK(D7,$D$7:$D$56,0)</f>
        <v>6</v>
      </c>
      <c r="I7" s="137">
        <f>LARGE($D$7:$D$56,H7)</f>
        <v>181</v>
      </c>
    </row>
    <row r="8" spans="2:19" ht="16.8">
      <c r="B8" s="124" t="s">
        <v>569</v>
      </c>
      <c r="C8" s="124" t="s">
        <v>86</v>
      </c>
      <c r="D8" s="106">
        <v>121</v>
      </c>
      <c r="H8" s="137">
        <f t="shared" ref="H8:H56" si="0">RANK(D8,$D$7:$D$56,0)</f>
        <v>42</v>
      </c>
      <c r="I8" s="137">
        <f t="shared" ref="I8:I56" si="1">LARGE($D$7:$D$56,H8)</f>
        <v>121</v>
      </c>
    </row>
    <row r="9" spans="2:19" ht="16.8">
      <c r="B9" s="124" t="s">
        <v>570</v>
      </c>
      <c r="C9" s="124" t="s">
        <v>92</v>
      </c>
      <c r="D9" s="106">
        <v>152</v>
      </c>
      <c r="H9" s="137">
        <f t="shared" si="0"/>
        <v>25</v>
      </c>
      <c r="I9" s="137">
        <f t="shared" si="1"/>
        <v>152</v>
      </c>
    </row>
    <row r="10" spans="2:19" ht="16.8">
      <c r="B10" s="124" t="s">
        <v>570</v>
      </c>
      <c r="C10" s="124" t="s">
        <v>103</v>
      </c>
      <c r="D10" s="106">
        <v>197</v>
      </c>
      <c r="H10" s="137">
        <f t="shared" si="0"/>
        <v>1</v>
      </c>
      <c r="I10" s="137">
        <f t="shared" si="1"/>
        <v>197</v>
      </c>
    </row>
    <row r="11" spans="2:19" ht="16.8">
      <c r="B11" s="124" t="s">
        <v>571</v>
      </c>
      <c r="C11" s="124" t="s">
        <v>99</v>
      </c>
      <c r="D11" s="106">
        <v>117</v>
      </c>
      <c r="H11" s="137">
        <f t="shared" si="0"/>
        <v>44</v>
      </c>
      <c r="I11" s="137">
        <f t="shared" si="1"/>
        <v>117</v>
      </c>
    </row>
    <row r="12" spans="2:19" ht="16.8">
      <c r="B12" s="124" t="s">
        <v>571</v>
      </c>
      <c r="C12" s="124" t="s">
        <v>122</v>
      </c>
      <c r="D12" s="106">
        <v>158</v>
      </c>
      <c r="H12" s="137">
        <f t="shared" si="0"/>
        <v>21</v>
      </c>
      <c r="I12" s="137">
        <f t="shared" si="1"/>
        <v>158</v>
      </c>
    </row>
    <row r="13" spans="2:19" ht="16.8">
      <c r="B13" s="124" t="s">
        <v>571</v>
      </c>
      <c r="C13" s="124" t="s">
        <v>100</v>
      </c>
      <c r="D13" s="106">
        <v>102</v>
      </c>
      <c r="H13" s="137">
        <f t="shared" si="0"/>
        <v>50</v>
      </c>
      <c r="I13" s="137">
        <f t="shared" si="1"/>
        <v>102</v>
      </c>
    </row>
    <row r="14" spans="2:19" ht="16.8">
      <c r="B14" s="124" t="s">
        <v>572</v>
      </c>
      <c r="C14" s="124" t="s">
        <v>114</v>
      </c>
      <c r="D14" s="106">
        <v>168</v>
      </c>
      <c r="H14" s="137">
        <f t="shared" si="0"/>
        <v>12</v>
      </c>
      <c r="I14" s="137">
        <f t="shared" si="1"/>
        <v>168</v>
      </c>
    </row>
    <row r="15" spans="2:19" ht="16.8">
      <c r="B15" s="124" t="s">
        <v>571</v>
      </c>
      <c r="C15" s="124" t="s">
        <v>115</v>
      </c>
      <c r="D15" s="106">
        <v>154</v>
      </c>
      <c r="H15" s="137">
        <f t="shared" si="0"/>
        <v>24</v>
      </c>
      <c r="I15" s="137">
        <f t="shared" si="1"/>
        <v>154</v>
      </c>
    </row>
    <row r="16" spans="2:19" ht="16.8">
      <c r="B16" s="124" t="s">
        <v>569</v>
      </c>
      <c r="C16" s="124" t="s">
        <v>129</v>
      </c>
      <c r="D16" s="106">
        <v>146</v>
      </c>
      <c r="H16" s="137">
        <f t="shared" si="0"/>
        <v>30</v>
      </c>
      <c r="I16" s="137">
        <f t="shared" si="1"/>
        <v>146</v>
      </c>
    </row>
    <row r="17" spans="2:9" ht="16.8">
      <c r="B17" s="124" t="s">
        <v>569</v>
      </c>
      <c r="C17" s="124" t="s">
        <v>123</v>
      </c>
      <c r="D17" s="106">
        <v>187</v>
      </c>
      <c r="H17" s="137">
        <f t="shared" si="0"/>
        <v>3</v>
      </c>
      <c r="I17" s="137">
        <f t="shared" si="1"/>
        <v>187</v>
      </c>
    </row>
    <row r="18" spans="2:9" ht="16.8">
      <c r="B18" s="124" t="s">
        <v>573</v>
      </c>
      <c r="C18" s="124" t="s">
        <v>87</v>
      </c>
      <c r="D18" s="106">
        <v>164</v>
      </c>
      <c r="H18" s="137">
        <f t="shared" si="0"/>
        <v>13</v>
      </c>
      <c r="I18" s="137">
        <f t="shared" si="1"/>
        <v>164</v>
      </c>
    </row>
    <row r="19" spans="2:9" ht="16.8">
      <c r="B19" s="124" t="s">
        <v>574</v>
      </c>
      <c r="C19" s="124" t="s">
        <v>97</v>
      </c>
      <c r="D19" s="106">
        <v>169</v>
      </c>
      <c r="H19" s="137">
        <f t="shared" si="0"/>
        <v>11</v>
      </c>
      <c r="I19" s="137">
        <f t="shared" si="1"/>
        <v>169</v>
      </c>
    </row>
    <row r="20" spans="2:9" ht="16.8">
      <c r="B20" s="124" t="s">
        <v>573</v>
      </c>
      <c r="C20" s="124" t="s">
        <v>119</v>
      </c>
      <c r="D20" s="106">
        <v>118</v>
      </c>
      <c r="H20" s="137">
        <f t="shared" si="0"/>
        <v>43</v>
      </c>
      <c r="I20" s="137">
        <f t="shared" si="1"/>
        <v>118</v>
      </c>
    </row>
    <row r="21" spans="2:9" ht="16.8">
      <c r="B21" s="124" t="s">
        <v>571</v>
      </c>
      <c r="C21" s="124" t="s">
        <v>124</v>
      </c>
      <c r="D21" s="106">
        <v>122</v>
      </c>
      <c r="H21" s="137">
        <f t="shared" si="0"/>
        <v>41</v>
      </c>
      <c r="I21" s="137">
        <f t="shared" si="1"/>
        <v>122</v>
      </c>
    </row>
    <row r="22" spans="2:9" ht="16.8">
      <c r="B22" s="124" t="s">
        <v>569</v>
      </c>
      <c r="C22" s="124" t="s">
        <v>111</v>
      </c>
      <c r="D22" s="106">
        <v>151</v>
      </c>
      <c r="H22" s="137">
        <f t="shared" si="0"/>
        <v>26</v>
      </c>
      <c r="I22" s="137">
        <f t="shared" si="1"/>
        <v>151</v>
      </c>
    </row>
    <row r="23" spans="2:9" ht="16.8">
      <c r="B23" s="124" t="s">
        <v>570</v>
      </c>
      <c r="C23" s="124" t="s">
        <v>125</v>
      </c>
      <c r="D23" s="106">
        <v>156</v>
      </c>
      <c r="H23" s="137">
        <f t="shared" si="0"/>
        <v>22</v>
      </c>
      <c r="I23" s="137">
        <f t="shared" si="1"/>
        <v>156</v>
      </c>
    </row>
    <row r="24" spans="2:9" ht="16.8">
      <c r="B24" s="124" t="s">
        <v>574</v>
      </c>
      <c r="C24" s="124" t="s">
        <v>101</v>
      </c>
      <c r="D24" s="106">
        <v>149</v>
      </c>
      <c r="H24" s="137">
        <f t="shared" si="0"/>
        <v>28</v>
      </c>
      <c r="I24" s="137">
        <f t="shared" si="1"/>
        <v>149</v>
      </c>
    </row>
    <row r="25" spans="2:9" ht="16.8">
      <c r="B25" s="124" t="s">
        <v>569</v>
      </c>
      <c r="C25" s="124" t="s">
        <v>98</v>
      </c>
      <c r="D25" s="106">
        <v>161</v>
      </c>
      <c r="H25" s="137">
        <f t="shared" si="0"/>
        <v>16</v>
      </c>
      <c r="I25" s="137">
        <f t="shared" si="1"/>
        <v>161</v>
      </c>
    </row>
    <row r="26" spans="2:9" ht="16.8">
      <c r="B26" s="124" t="s">
        <v>573</v>
      </c>
      <c r="C26" s="124" t="s">
        <v>110</v>
      </c>
      <c r="D26" s="106">
        <v>160</v>
      </c>
      <c r="H26" s="137">
        <f t="shared" si="0"/>
        <v>18</v>
      </c>
      <c r="I26" s="137">
        <f t="shared" si="1"/>
        <v>160</v>
      </c>
    </row>
    <row r="27" spans="2:9" ht="16.8">
      <c r="B27" s="124" t="s">
        <v>570</v>
      </c>
      <c r="C27" s="124" t="s">
        <v>90</v>
      </c>
      <c r="D27" s="106">
        <v>161</v>
      </c>
      <c r="H27" s="137">
        <f t="shared" si="0"/>
        <v>16</v>
      </c>
      <c r="I27" s="137">
        <f t="shared" si="1"/>
        <v>161</v>
      </c>
    </row>
    <row r="28" spans="2:9" ht="16.8">
      <c r="B28" s="124" t="s">
        <v>571</v>
      </c>
      <c r="C28" s="124" t="s">
        <v>118</v>
      </c>
      <c r="D28" s="106">
        <v>112</v>
      </c>
      <c r="H28" s="137">
        <f t="shared" si="0"/>
        <v>48</v>
      </c>
      <c r="I28" s="137">
        <f t="shared" si="1"/>
        <v>112</v>
      </c>
    </row>
    <row r="29" spans="2:9" ht="16.8">
      <c r="B29" s="124" t="s">
        <v>572</v>
      </c>
      <c r="C29" s="124" t="s">
        <v>82</v>
      </c>
      <c r="D29" s="106">
        <v>183</v>
      </c>
      <c r="H29" s="137">
        <f t="shared" si="0"/>
        <v>4</v>
      </c>
      <c r="I29" s="137">
        <f t="shared" si="1"/>
        <v>183</v>
      </c>
    </row>
    <row r="30" spans="2:9" ht="16.8">
      <c r="B30" s="124" t="s">
        <v>570</v>
      </c>
      <c r="C30" s="124" t="s">
        <v>128</v>
      </c>
      <c r="D30" s="106">
        <v>151</v>
      </c>
      <c r="H30" s="137">
        <f t="shared" si="0"/>
        <v>26</v>
      </c>
      <c r="I30" s="137">
        <f t="shared" si="1"/>
        <v>151</v>
      </c>
    </row>
    <row r="31" spans="2:9" ht="16.8">
      <c r="B31" s="124" t="s">
        <v>574</v>
      </c>
      <c r="C31" s="124" t="s">
        <v>91</v>
      </c>
      <c r="D31" s="106">
        <v>139</v>
      </c>
      <c r="H31" s="137">
        <f t="shared" si="0"/>
        <v>35</v>
      </c>
      <c r="I31" s="137">
        <f t="shared" si="1"/>
        <v>139</v>
      </c>
    </row>
    <row r="32" spans="2:9" ht="16.8">
      <c r="B32" s="124" t="s">
        <v>573</v>
      </c>
      <c r="C32" s="124" t="s">
        <v>89</v>
      </c>
      <c r="D32" s="106">
        <v>135</v>
      </c>
      <c r="H32" s="137">
        <f t="shared" si="0"/>
        <v>36</v>
      </c>
      <c r="I32" s="137">
        <f t="shared" si="1"/>
        <v>135</v>
      </c>
    </row>
    <row r="33" spans="2:9" ht="16.8">
      <c r="B33" s="124" t="s">
        <v>571</v>
      </c>
      <c r="C33" s="124" t="s">
        <v>85</v>
      </c>
      <c r="D33" s="106">
        <v>177</v>
      </c>
      <c r="H33" s="137">
        <f t="shared" si="0"/>
        <v>8</v>
      </c>
      <c r="I33" s="137">
        <f t="shared" si="1"/>
        <v>177</v>
      </c>
    </row>
    <row r="34" spans="2:9" ht="16.8">
      <c r="B34" s="124" t="s">
        <v>573</v>
      </c>
      <c r="C34" s="124" t="s">
        <v>85</v>
      </c>
      <c r="D34" s="106">
        <v>141</v>
      </c>
      <c r="H34" s="137">
        <f t="shared" si="0"/>
        <v>32</v>
      </c>
      <c r="I34" s="137">
        <f t="shared" si="1"/>
        <v>141</v>
      </c>
    </row>
    <row r="35" spans="2:9" ht="16.8">
      <c r="B35" s="124" t="s">
        <v>574</v>
      </c>
      <c r="C35" s="124" t="s">
        <v>95</v>
      </c>
      <c r="D35" s="106">
        <v>159</v>
      </c>
      <c r="H35" s="137">
        <f t="shared" si="0"/>
        <v>20</v>
      </c>
      <c r="I35" s="137">
        <f t="shared" si="1"/>
        <v>159</v>
      </c>
    </row>
    <row r="36" spans="2:9" ht="16.8">
      <c r="B36" s="124" t="s">
        <v>569</v>
      </c>
      <c r="C36" s="124" t="s">
        <v>83</v>
      </c>
      <c r="D36" s="106">
        <v>162</v>
      </c>
      <c r="H36" s="137">
        <f t="shared" si="0"/>
        <v>15</v>
      </c>
      <c r="I36" s="137">
        <f t="shared" si="1"/>
        <v>162</v>
      </c>
    </row>
    <row r="37" spans="2:9" ht="16.8">
      <c r="B37" s="124" t="s">
        <v>572</v>
      </c>
      <c r="C37" s="124" t="s">
        <v>83</v>
      </c>
      <c r="D37" s="106">
        <v>174</v>
      </c>
      <c r="H37" s="137">
        <f t="shared" si="0"/>
        <v>9</v>
      </c>
      <c r="I37" s="137">
        <f t="shared" si="1"/>
        <v>174</v>
      </c>
    </row>
    <row r="38" spans="2:9" ht="16.8">
      <c r="B38" s="124" t="s">
        <v>569</v>
      </c>
      <c r="C38" s="124" t="s">
        <v>120</v>
      </c>
      <c r="D38" s="106">
        <v>107</v>
      </c>
      <c r="H38" s="137">
        <f t="shared" si="0"/>
        <v>49</v>
      </c>
      <c r="I38" s="137">
        <f t="shared" si="1"/>
        <v>107</v>
      </c>
    </row>
    <row r="39" spans="2:9" ht="16.8">
      <c r="B39" s="124" t="s">
        <v>570</v>
      </c>
      <c r="C39" s="124" t="s">
        <v>126</v>
      </c>
      <c r="D39" s="106">
        <v>156</v>
      </c>
      <c r="H39" s="137">
        <f t="shared" si="0"/>
        <v>22</v>
      </c>
      <c r="I39" s="137">
        <f t="shared" si="1"/>
        <v>156</v>
      </c>
    </row>
    <row r="40" spans="2:9" ht="16.8">
      <c r="B40" s="124" t="s">
        <v>570</v>
      </c>
      <c r="C40" s="124" t="s">
        <v>84</v>
      </c>
      <c r="D40" s="106">
        <v>114</v>
      </c>
      <c r="H40" s="137">
        <f t="shared" si="0"/>
        <v>47</v>
      </c>
      <c r="I40" s="137">
        <f t="shared" si="1"/>
        <v>114</v>
      </c>
    </row>
    <row r="41" spans="2:9" ht="16.8">
      <c r="B41" s="124" t="s">
        <v>573</v>
      </c>
      <c r="C41" s="124" t="s">
        <v>105</v>
      </c>
      <c r="D41" s="106">
        <v>128</v>
      </c>
      <c r="H41" s="137">
        <f t="shared" si="0"/>
        <v>39</v>
      </c>
      <c r="I41" s="137">
        <f t="shared" si="1"/>
        <v>128</v>
      </c>
    </row>
    <row r="42" spans="2:9" ht="16.8">
      <c r="B42" s="124" t="s">
        <v>571</v>
      </c>
      <c r="C42" s="124" t="s">
        <v>104</v>
      </c>
      <c r="D42" s="106">
        <v>160</v>
      </c>
      <c r="H42" s="137">
        <f t="shared" si="0"/>
        <v>18</v>
      </c>
      <c r="I42" s="137">
        <f t="shared" si="1"/>
        <v>160</v>
      </c>
    </row>
    <row r="43" spans="2:9" ht="16.8">
      <c r="B43" s="124" t="s">
        <v>574</v>
      </c>
      <c r="C43" s="124" t="s">
        <v>116</v>
      </c>
      <c r="D43" s="106">
        <v>141</v>
      </c>
      <c r="H43" s="137">
        <f t="shared" si="0"/>
        <v>32</v>
      </c>
      <c r="I43" s="137">
        <f t="shared" si="1"/>
        <v>141</v>
      </c>
    </row>
    <row r="44" spans="2:9" ht="16.8">
      <c r="B44" s="124" t="s">
        <v>569</v>
      </c>
      <c r="C44" s="124" t="s">
        <v>127</v>
      </c>
      <c r="D44" s="106">
        <v>141</v>
      </c>
      <c r="H44" s="137">
        <f t="shared" si="0"/>
        <v>32</v>
      </c>
      <c r="I44" s="137">
        <f t="shared" si="1"/>
        <v>141</v>
      </c>
    </row>
    <row r="45" spans="2:9" ht="16.8">
      <c r="B45" s="124" t="s">
        <v>571</v>
      </c>
      <c r="C45" s="124" t="s">
        <v>107</v>
      </c>
      <c r="D45" s="106">
        <v>142</v>
      </c>
      <c r="H45" s="137">
        <f t="shared" si="0"/>
        <v>31</v>
      </c>
      <c r="I45" s="137">
        <f t="shared" si="1"/>
        <v>142</v>
      </c>
    </row>
    <row r="46" spans="2:9" ht="16.8">
      <c r="B46" s="124" t="s">
        <v>572</v>
      </c>
      <c r="C46" s="124" t="s">
        <v>96</v>
      </c>
      <c r="D46" s="106">
        <v>115</v>
      </c>
      <c r="H46" s="137">
        <f t="shared" si="0"/>
        <v>45</v>
      </c>
      <c r="I46" s="137">
        <f t="shared" si="1"/>
        <v>115</v>
      </c>
    </row>
    <row r="47" spans="2:9" ht="16.8">
      <c r="B47" s="124" t="s">
        <v>572</v>
      </c>
      <c r="C47" s="124" t="s">
        <v>88</v>
      </c>
      <c r="D47" s="106">
        <v>147</v>
      </c>
      <c r="H47" s="137">
        <f t="shared" si="0"/>
        <v>29</v>
      </c>
      <c r="I47" s="137">
        <f t="shared" si="1"/>
        <v>147</v>
      </c>
    </row>
    <row r="48" spans="2:9" ht="16.8">
      <c r="B48" s="124" t="s">
        <v>572</v>
      </c>
      <c r="C48" s="124" t="s">
        <v>106</v>
      </c>
      <c r="D48" s="106">
        <v>179</v>
      </c>
      <c r="H48" s="137">
        <f t="shared" si="0"/>
        <v>7</v>
      </c>
      <c r="I48" s="137">
        <f t="shared" si="1"/>
        <v>179</v>
      </c>
    </row>
    <row r="49" spans="2:9" ht="16.8">
      <c r="B49" s="124" t="s">
        <v>574</v>
      </c>
      <c r="C49" s="124" t="s">
        <v>102</v>
      </c>
      <c r="D49" s="106">
        <v>131</v>
      </c>
      <c r="H49" s="137">
        <f t="shared" si="0"/>
        <v>38</v>
      </c>
      <c r="I49" s="137">
        <f t="shared" si="1"/>
        <v>131</v>
      </c>
    </row>
    <row r="50" spans="2:9" ht="16.8">
      <c r="B50" s="124" t="s">
        <v>572</v>
      </c>
      <c r="C50" s="124" t="s">
        <v>108</v>
      </c>
      <c r="D50" s="106">
        <v>164</v>
      </c>
      <c r="H50" s="137">
        <f t="shared" si="0"/>
        <v>13</v>
      </c>
      <c r="I50" s="137">
        <f t="shared" si="1"/>
        <v>164</v>
      </c>
    </row>
    <row r="51" spans="2:9" ht="16.8">
      <c r="B51" s="124" t="s">
        <v>569</v>
      </c>
      <c r="C51" s="124" t="s">
        <v>121</v>
      </c>
      <c r="D51" s="106">
        <v>125</v>
      </c>
      <c r="H51" s="137">
        <f t="shared" si="0"/>
        <v>40</v>
      </c>
      <c r="I51" s="137">
        <f t="shared" si="1"/>
        <v>125</v>
      </c>
    </row>
    <row r="52" spans="2:9" ht="16.8">
      <c r="B52" s="124" t="s">
        <v>573</v>
      </c>
      <c r="C52" s="124" t="s">
        <v>93</v>
      </c>
      <c r="D52" s="106">
        <v>196</v>
      </c>
      <c r="H52" s="137">
        <f t="shared" si="0"/>
        <v>2</v>
      </c>
      <c r="I52" s="137">
        <f t="shared" si="1"/>
        <v>196</v>
      </c>
    </row>
    <row r="53" spans="2:9" ht="16.8">
      <c r="B53" s="124" t="s">
        <v>571</v>
      </c>
      <c r="C53" s="124" t="s">
        <v>94</v>
      </c>
      <c r="D53" s="106">
        <v>115</v>
      </c>
      <c r="H53" s="137">
        <f t="shared" si="0"/>
        <v>45</v>
      </c>
      <c r="I53" s="137">
        <f t="shared" si="1"/>
        <v>115</v>
      </c>
    </row>
    <row r="54" spans="2:9" ht="16.8">
      <c r="B54" s="124" t="s">
        <v>571</v>
      </c>
      <c r="C54" s="124" t="s">
        <v>109</v>
      </c>
      <c r="D54" s="106">
        <v>183</v>
      </c>
      <c r="H54" s="137">
        <f t="shared" si="0"/>
        <v>4</v>
      </c>
      <c r="I54" s="137">
        <f t="shared" si="1"/>
        <v>183</v>
      </c>
    </row>
    <row r="55" spans="2:9" ht="16.8">
      <c r="B55" s="124" t="s">
        <v>569</v>
      </c>
      <c r="C55" s="124" t="s">
        <v>112</v>
      </c>
      <c r="D55" s="106">
        <v>135</v>
      </c>
      <c r="H55" s="137">
        <f t="shared" si="0"/>
        <v>36</v>
      </c>
      <c r="I55" s="137">
        <f t="shared" si="1"/>
        <v>135</v>
      </c>
    </row>
    <row r="56" spans="2:9" ht="16.8">
      <c r="B56" s="124" t="s">
        <v>572</v>
      </c>
      <c r="C56" s="124" t="s">
        <v>117</v>
      </c>
      <c r="D56" s="106">
        <v>173</v>
      </c>
      <c r="H56" s="137">
        <f t="shared" si="0"/>
        <v>10</v>
      </c>
      <c r="I56" s="137">
        <f t="shared" si="1"/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 Instructions</vt:lpstr>
      <vt:lpstr>Q1</vt:lpstr>
      <vt:lpstr>Q2</vt:lpstr>
      <vt:lpstr>Q3</vt:lpstr>
      <vt:lpstr>Q5</vt:lpstr>
      <vt:lpstr>Q6</vt:lpstr>
      <vt:lpstr>Q7</vt:lpstr>
      <vt:lpstr>Q8</vt:lpstr>
      <vt:lpstr>Q9</vt:lpstr>
      <vt:lpstr>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Kavish</dc:creator>
  <cp:lastModifiedBy>radhika rawat</cp:lastModifiedBy>
  <dcterms:created xsi:type="dcterms:W3CDTF">2017-02-02T06:21:18Z</dcterms:created>
  <dcterms:modified xsi:type="dcterms:W3CDTF">2025-10-27T16:08:10Z</dcterms:modified>
</cp:coreProperties>
</file>